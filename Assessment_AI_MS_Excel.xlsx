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iti\Downloads\"/>
    </mc:Choice>
  </mc:AlternateContent>
  <xr:revisionPtr revIDLastSave="0" documentId="8_{404D92C8-B37E-410C-8546-4AC09052723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2" sheetId="2" r:id="rId1"/>
    <sheet name="Sheet3" sheetId="3" r:id="rId2"/>
    <sheet name="Sheet4" sheetId="5" r:id="rId3"/>
    <sheet name="Sheet5" sheetId="6" r:id="rId4"/>
    <sheet name="Sheet6" sheetId="7" r:id="rId5"/>
    <sheet name="Sheet1" sheetId="1" r:id="rId6"/>
    <sheet name="Product_Table" sheetId="4" r:id="rId7"/>
  </sheets>
  <definedNames>
    <definedName name="_xlnm._FilterDatabase" localSheetId="6" hidden="1">Product_Table!$A$1:$A$58</definedName>
  </definedNames>
  <calcPr calcId="191029"/>
  <pivotCaches>
    <pivotCache cacheId="0" r:id="rId8"/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O53" i="1"/>
  <c r="P53" i="1"/>
  <c r="Q53" i="1"/>
  <c r="W5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C52" i="1"/>
  <c r="P52" i="1"/>
  <c r="Q52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2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3" i="1"/>
  <c r="Q4" i="1"/>
  <c r="Q5" i="1"/>
  <c r="Q6" i="1"/>
  <c r="Q7" i="1"/>
  <c r="Q8" i="1"/>
  <c r="Q9" i="1"/>
  <c r="Q10" i="1"/>
  <c r="Q2" i="1"/>
  <c r="C54" i="1"/>
  <c r="O5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2" i="1"/>
  <c r="O2" i="1" s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W44" i="1" l="1"/>
  <c r="U10" i="1"/>
  <c r="W10" i="1" s="1"/>
  <c r="W43" i="1"/>
  <c r="U9" i="1"/>
  <c r="W9" i="1" s="1"/>
  <c r="W42" i="1"/>
  <c r="W30" i="1"/>
  <c r="U8" i="1"/>
  <c r="W8" i="1" s="1"/>
  <c r="U7" i="1"/>
  <c r="W7" i="1" s="1"/>
  <c r="U6" i="1"/>
  <c r="W6" i="1" s="1"/>
  <c r="U45" i="1"/>
  <c r="U44" i="1"/>
  <c r="U43" i="1"/>
  <c r="U42" i="1"/>
  <c r="U30" i="1"/>
  <c r="U12" i="1"/>
  <c r="W12" i="1" s="1"/>
  <c r="W45" i="1"/>
  <c r="U11" i="1"/>
  <c r="W11" i="1" s="1"/>
  <c r="W19" i="1"/>
  <c r="W18" i="1"/>
  <c r="W4" i="1"/>
  <c r="U48" i="1"/>
  <c r="W48" i="1" s="1"/>
  <c r="U33" i="1"/>
  <c r="W33" i="1" s="1"/>
  <c r="U18" i="1"/>
  <c r="U26" i="1"/>
  <c r="W26" i="1" s="1"/>
  <c r="U25" i="1"/>
  <c r="W25" i="1" s="1"/>
  <c r="U38" i="1"/>
  <c r="W38" i="1" s="1"/>
  <c r="U22" i="1"/>
  <c r="W22" i="1" s="1"/>
  <c r="U36" i="1"/>
  <c r="W36" i="1" s="1"/>
  <c r="U21" i="1"/>
  <c r="W21" i="1" s="1"/>
  <c r="U50" i="1"/>
  <c r="W50" i="1" s="1"/>
  <c r="U49" i="1"/>
  <c r="W49" i="1" s="1"/>
  <c r="U34" i="1"/>
  <c r="W34" i="1" s="1"/>
  <c r="U47" i="1"/>
  <c r="W47" i="1" s="1"/>
  <c r="U32" i="1"/>
  <c r="W32" i="1" s="1"/>
  <c r="U14" i="1"/>
  <c r="W14" i="1" s="1"/>
  <c r="U24" i="1"/>
  <c r="W24" i="1" s="1"/>
  <c r="U23" i="1"/>
  <c r="W23" i="1" s="1"/>
  <c r="U37" i="1"/>
  <c r="W37" i="1" s="1"/>
  <c r="U35" i="1"/>
  <c r="W35" i="1" s="1"/>
  <c r="U20" i="1"/>
  <c r="W20" i="1" s="1"/>
  <c r="U19" i="1"/>
  <c r="U46" i="1"/>
  <c r="W46" i="1" s="1"/>
  <c r="U31" i="1"/>
  <c r="W31" i="1" s="1"/>
  <c r="U13" i="1"/>
  <c r="W13" i="1" s="1"/>
  <c r="U41" i="1"/>
  <c r="W41" i="1" s="1"/>
  <c r="U29" i="1"/>
  <c r="W29" i="1" s="1"/>
  <c r="U17" i="1"/>
  <c r="W17" i="1" s="1"/>
  <c r="U5" i="1"/>
  <c r="W5" i="1" s="1"/>
  <c r="U2" i="1"/>
  <c r="W2" i="1" s="1"/>
  <c r="U40" i="1"/>
  <c r="W40" i="1" s="1"/>
  <c r="U28" i="1"/>
  <c r="W28" i="1" s="1"/>
  <c r="U16" i="1"/>
  <c r="W16" i="1" s="1"/>
  <c r="U4" i="1"/>
  <c r="U51" i="1"/>
  <c r="W51" i="1" s="1"/>
  <c r="U39" i="1"/>
  <c r="W39" i="1" s="1"/>
  <c r="U27" i="1"/>
  <c r="W27" i="1" s="1"/>
  <c r="U15" i="1"/>
  <c r="W15" i="1" s="1"/>
  <c r="U3" i="1"/>
  <c r="W3" i="1" s="1"/>
  <c r="V54" i="1"/>
  <c r="V52" i="1" l="1"/>
  <c r="W52" i="1" s="1"/>
  <c r="W54" i="1"/>
</calcChain>
</file>

<file path=xl/sharedStrings.xml><?xml version="1.0" encoding="utf-8"?>
<sst xmlns="http://schemas.openxmlformats.org/spreadsheetml/2006/main" count="591" uniqueCount="278">
  <si>
    <t>Customer_ID</t>
  </si>
  <si>
    <t>Customer_Name</t>
  </si>
  <si>
    <t>City</t>
  </si>
  <si>
    <t>Signup_Date</t>
  </si>
  <si>
    <t>Order_ID</t>
  </si>
  <si>
    <t>Order_Date</t>
  </si>
  <si>
    <t>Product_Category</t>
  </si>
  <si>
    <t>Product_Name</t>
  </si>
  <si>
    <t>Quantity</t>
  </si>
  <si>
    <t>Unit_Price</t>
  </si>
  <si>
    <t>Total_Revenue</t>
  </si>
  <si>
    <t>Payment_Mode</t>
  </si>
  <si>
    <t>C001</t>
  </si>
  <si>
    <t>Aarav Sharma</t>
  </si>
  <si>
    <t>Delhi</t>
  </si>
  <si>
    <t>O1001</t>
  </si>
  <si>
    <t>Electronics</t>
  </si>
  <si>
    <t>Wireless Earbuds</t>
  </si>
  <si>
    <t>UPI</t>
  </si>
  <si>
    <t>C002</t>
  </si>
  <si>
    <t>Priya Mehta</t>
  </si>
  <si>
    <t>Mumbai</t>
  </si>
  <si>
    <t>O1002</t>
  </si>
  <si>
    <t>Fashion</t>
  </si>
  <si>
    <t>Sneakers</t>
  </si>
  <si>
    <t>Card</t>
  </si>
  <si>
    <t>C003</t>
  </si>
  <si>
    <t>Rohan Gupta</t>
  </si>
  <si>
    <t>Gurgaon</t>
  </si>
  <si>
    <t>O1003</t>
  </si>
  <si>
    <t>Home</t>
  </si>
  <si>
    <t>Blender</t>
  </si>
  <si>
    <t>Net Banking</t>
  </si>
  <si>
    <t>C004</t>
  </si>
  <si>
    <t>Sneha Iyer</t>
  </si>
  <si>
    <t>Pune</t>
  </si>
  <si>
    <t>O1004</t>
  </si>
  <si>
    <t>Beauty</t>
  </si>
  <si>
    <t>Skincare Kit</t>
  </si>
  <si>
    <t>C005</t>
  </si>
  <si>
    <t>Aditya Rao</t>
  </si>
  <si>
    <t>Bengaluru</t>
  </si>
  <si>
    <t>O1005</t>
  </si>
  <si>
    <t>Smartwatch</t>
  </si>
  <si>
    <t>C006</t>
  </si>
  <si>
    <t>Neha Kapoor</t>
  </si>
  <si>
    <t>Jaipur</t>
  </si>
  <si>
    <t>O1006</t>
  </si>
  <si>
    <t>Grocery</t>
  </si>
  <si>
    <t>Organic Pack</t>
  </si>
  <si>
    <t>C007</t>
  </si>
  <si>
    <t>Kunal Verma</t>
  </si>
  <si>
    <t>Lucknow</t>
  </si>
  <si>
    <t>O1007</t>
  </si>
  <si>
    <t>Jacket</t>
  </si>
  <si>
    <t>Wallet</t>
  </si>
  <si>
    <t>C008</t>
  </si>
  <si>
    <t>Isha Nair</t>
  </si>
  <si>
    <t>Kochi</t>
  </si>
  <si>
    <t>O1008</t>
  </si>
  <si>
    <t>Tablet</t>
  </si>
  <si>
    <t>C009</t>
  </si>
  <si>
    <t>Manav Singh</t>
  </si>
  <si>
    <t>Chandigarh</t>
  </si>
  <si>
    <t>O1009</t>
  </si>
  <si>
    <t>Vacuum Cleaner</t>
  </si>
  <si>
    <t>C010</t>
  </si>
  <si>
    <t>Ananya Das</t>
  </si>
  <si>
    <t>Kolkata</t>
  </si>
  <si>
    <t>O1010</t>
  </si>
  <si>
    <t>Hair Dryer</t>
  </si>
  <si>
    <t>C011</t>
  </si>
  <si>
    <t>Rahul Jain</t>
  </si>
  <si>
    <t>Indore</t>
  </si>
  <si>
    <t>O1011</t>
  </si>
  <si>
    <t>Bluetooth Speaker</t>
  </si>
  <si>
    <t>C012</t>
  </si>
  <si>
    <t>Simran Kaur</t>
  </si>
  <si>
    <t>Amritsar</t>
  </si>
  <si>
    <t>O1012</t>
  </si>
  <si>
    <t>Handbag</t>
  </si>
  <si>
    <t>C013</t>
  </si>
  <si>
    <t>Dev Malhotra</t>
  </si>
  <si>
    <t>Noida</t>
  </si>
  <si>
    <t>O1013</t>
  </si>
  <si>
    <t>Dry Fruits Pack</t>
  </si>
  <si>
    <t>C014</t>
  </si>
  <si>
    <t>Riya Sen</t>
  </si>
  <si>
    <t>Hyderabad</t>
  </si>
  <si>
    <t>O1014</t>
  </si>
  <si>
    <t>Laptop Bag</t>
  </si>
  <si>
    <t>C015</t>
  </si>
  <si>
    <t>Arjun Bhatia</t>
  </si>
  <si>
    <t>Surat</t>
  </si>
  <si>
    <t>O1015</t>
  </si>
  <si>
    <t>Air Purifier</t>
  </si>
  <si>
    <t>C016</t>
  </si>
  <si>
    <t>Meera Pillai</t>
  </si>
  <si>
    <t>Chennai</t>
  </si>
  <si>
    <t>O1016</t>
  </si>
  <si>
    <t>Makeup Kit</t>
  </si>
  <si>
    <t>C017</t>
  </si>
  <si>
    <t>Sarthak Roy</t>
  </si>
  <si>
    <t>Patna</t>
  </si>
  <si>
    <t>O1017</t>
  </si>
  <si>
    <t>Power Bank</t>
  </si>
  <si>
    <t>C018</t>
  </si>
  <si>
    <t>Pooja Arora</t>
  </si>
  <si>
    <t>Ludhiana</t>
  </si>
  <si>
    <t>O1018</t>
  </si>
  <si>
    <t>Watch</t>
  </si>
  <si>
    <t>C019</t>
  </si>
  <si>
    <t>Yash Tiwari</t>
  </si>
  <si>
    <t>Kanpur</t>
  </si>
  <si>
    <t>O1019</t>
  </si>
  <si>
    <t>Coffee Beans</t>
  </si>
  <si>
    <t>C020</t>
  </si>
  <si>
    <t>Kavya Menon</t>
  </si>
  <si>
    <t>Trivandrum</t>
  </si>
  <si>
    <t>O1020</t>
  </si>
  <si>
    <t>Microwave Oven</t>
  </si>
  <si>
    <t>C021</t>
  </si>
  <si>
    <t>Harsh Patel</t>
  </si>
  <si>
    <t>Ahmedabad</t>
  </si>
  <si>
    <t>O1021</t>
  </si>
  <si>
    <t>Keyboard</t>
  </si>
  <si>
    <t>C022</t>
  </si>
  <si>
    <t>Tanvi Sood</t>
  </si>
  <si>
    <t>Dehradun</t>
  </si>
  <si>
    <t>O1022</t>
  </si>
  <si>
    <t>Perfume</t>
  </si>
  <si>
    <t>C023</t>
  </si>
  <si>
    <t>Nitin Arora</t>
  </si>
  <si>
    <t>Faridabad</t>
  </si>
  <si>
    <t>O1023</t>
  </si>
  <si>
    <t>Formal Shoes</t>
  </si>
  <si>
    <t>C024</t>
  </si>
  <si>
    <t>Sakshi Joshi</t>
  </si>
  <si>
    <t>Bhopal</t>
  </si>
  <si>
    <t>O1024</t>
  </si>
  <si>
    <t>Bedsheet Set</t>
  </si>
  <si>
    <t>C025</t>
  </si>
  <si>
    <t>Mohit Sinha</t>
  </si>
  <si>
    <t>Ranchi</t>
  </si>
  <si>
    <t>O1025</t>
  </si>
  <si>
    <t>Monitor</t>
  </si>
  <si>
    <t>C026</t>
  </si>
  <si>
    <t>Nisha Thomas</t>
  </si>
  <si>
    <t>O1026</t>
  </si>
  <si>
    <t>Health Mix</t>
  </si>
  <si>
    <t>C027</t>
  </si>
  <si>
    <t>Akash Yadav</t>
  </si>
  <si>
    <t>Varanasi</t>
  </si>
  <si>
    <t>O1027</t>
  </si>
  <si>
    <t>T-Shirt Pack</t>
  </si>
  <si>
    <t>C028</t>
  </si>
  <si>
    <t>Diya Kapoor</t>
  </si>
  <si>
    <t>O1028</t>
  </si>
  <si>
    <t>Face Serum</t>
  </si>
  <si>
    <t>C029</t>
  </si>
  <si>
    <t>Vivek Nanda</t>
  </si>
  <si>
    <t>O1029</t>
  </si>
  <si>
    <t>Router</t>
  </si>
  <si>
    <t>C030</t>
  </si>
  <si>
    <t>Ritu Sharma</t>
  </si>
  <si>
    <t>O1030</t>
  </si>
  <si>
    <t>Cookware Set</t>
  </si>
  <si>
    <t>C031</t>
  </si>
  <si>
    <t>Tushar Goyal</t>
  </si>
  <si>
    <t>O1031</t>
  </si>
  <si>
    <t>Webcam</t>
  </si>
  <si>
    <t>C032</t>
  </si>
  <si>
    <t>Aditi Rao</t>
  </si>
  <si>
    <t>O1032</t>
  </si>
  <si>
    <t>Kurta Set</t>
  </si>
  <si>
    <t>C033</t>
  </si>
  <si>
    <t>Varun Khanna</t>
  </si>
  <si>
    <t>O1033</t>
  </si>
  <si>
    <t>Protein Bars</t>
  </si>
  <si>
    <t>C034</t>
  </si>
  <si>
    <t>Shruti Bose</t>
  </si>
  <si>
    <t>O1034</t>
  </si>
  <si>
    <t>Sunscreen Pack</t>
  </si>
  <si>
    <t>C035</t>
  </si>
  <si>
    <t>Raghav Sethi</t>
  </si>
  <si>
    <t>O1035</t>
  </si>
  <si>
    <t>Fitness Band</t>
  </si>
  <si>
    <t>C036</t>
  </si>
  <si>
    <t>Nupur Shah</t>
  </si>
  <si>
    <t>O1036</t>
  </si>
  <si>
    <t>Lamp Set</t>
  </si>
  <si>
    <t>C037</t>
  </si>
  <si>
    <t>Siddharth Paul</t>
  </si>
  <si>
    <t>O1037</t>
  </si>
  <si>
    <t>Mouse</t>
  </si>
  <si>
    <t>C038</t>
  </si>
  <si>
    <t>Ishita Bansal</t>
  </si>
  <si>
    <t>O1038</t>
  </si>
  <si>
    <t>Sunglasses</t>
  </si>
  <si>
    <t>C039</t>
  </si>
  <si>
    <t>Aman Thakur</t>
  </si>
  <si>
    <t>Shimla</t>
  </si>
  <si>
    <t>O1039</t>
  </si>
  <si>
    <t>Tea Pack</t>
  </si>
  <si>
    <t>C040</t>
  </si>
  <si>
    <t>Rhea Dutta</t>
  </si>
  <si>
    <t>Guwahati</t>
  </si>
  <si>
    <t>O1040</t>
  </si>
  <si>
    <t>Study Chair</t>
  </si>
  <si>
    <t>C041</t>
  </si>
  <si>
    <t>Keshav Saxena</t>
  </si>
  <si>
    <t>Agra</t>
  </si>
  <si>
    <t>O1041</t>
  </si>
  <si>
    <t>SSD Drive</t>
  </si>
  <si>
    <t>C042</t>
  </si>
  <si>
    <t>Muskan Ali</t>
  </si>
  <si>
    <t>Aligarh</t>
  </si>
  <si>
    <t>O1042</t>
  </si>
  <si>
    <t>Lipstick Set</t>
  </si>
  <si>
    <t>C043</t>
  </si>
  <si>
    <t>Abhishek Das</t>
  </si>
  <si>
    <t>Bhubaneswar</t>
  </si>
  <si>
    <t>O1043</t>
  </si>
  <si>
    <t>Backpack</t>
  </si>
  <si>
    <t>C044</t>
  </si>
  <si>
    <t>Tanya Gill</t>
  </si>
  <si>
    <t>Jalandhar</t>
  </si>
  <si>
    <t>O1044</t>
  </si>
  <si>
    <t>Wall Art</t>
  </si>
  <si>
    <t>C045</t>
  </si>
  <si>
    <t>Pranav Kulkarni</t>
  </si>
  <si>
    <t>Nagpur</t>
  </si>
  <si>
    <t>O1045</t>
  </si>
  <si>
    <t>Printer</t>
  </si>
  <si>
    <t>C046</t>
  </si>
  <si>
    <t>Ayesha Khan</t>
  </si>
  <si>
    <t>O1046</t>
  </si>
  <si>
    <t>Nuts Pack</t>
  </si>
  <si>
    <t>C047</t>
  </si>
  <si>
    <t>Rohit Chawla</t>
  </si>
  <si>
    <t>O1047</t>
  </si>
  <si>
    <t>Smart Bulb</t>
  </si>
  <si>
    <t>C048</t>
  </si>
  <si>
    <t>Kriti Malhotra</t>
  </si>
  <si>
    <t>O1048</t>
  </si>
  <si>
    <t>Heels</t>
  </si>
  <si>
    <t>C049</t>
  </si>
  <si>
    <t>Faizan Mir</t>
  </si>
  <si>
    <t>Srinagar</t>
  </si>
  <si>
    <t>O1049</t>
  </si>
  <si>
    <t>Room Heater</t>
  </si>
  <si>
    <t>C050</t>
  </si>
  <si>
    <t>Priti Nanda</t>
  </si>
  <si>
    <t>Raipur</t>
  </si>
  <si>
    <t>O1050</t>
  </si>
  <si>
    <t>Body Care Set</t>
  </si>
  <si>
    <t>Row Labels</t>
  </si>
  <si>
    <t>(blank)</t>
  </si>
  <si>
    <t>Grand Total</t>
  </si>
  <si>
    <t>Clean_City</t>
  </si>
  <si>
    <t>Cost_Price</t>
  </si>
  <si>
    <t>Profit</t>
  </si>
  <si>
    <t>Order_Month</t>
  </si>
  <si>
    <t>Order_quarter</t>
  </si>
  <si>
    <t>Customer Type</t>
  </si>
  <si>
    <t>High_value_order_Flag</t>
  </si>
  <si>
    <t>Delivery_Delay</t>
  </si>
  <si>
    <t>Cost_Price_PT</t>
  </si>
  <si>
    <t>Discount_PT</t>
  </si>
  <si>
    <t>PROFIT_TABLE_PT</t>
  </si>
  <si>
    <t>&lt;1/5/2025</t>
  </si>
  <si>
    <t>Jan</t>
  </si>
  <si>
    <t>Feb</t>
  </si>
  <si>
    <t>Mar</t>
  </si>
  <si>
    <t>Sum of Total_Revenue</t>
  </si>
  <si>
    <t>Sum of Profit</t>
  </si>
  <si>
    <t>New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</si>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</sst>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/>
    <xf numFmtId="1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0" xfId="0" applyFont="1"/>
    <xf numFmtId="0" fontId="0" fillId="0" borderId="2" xfId="0" applyBorder="1" applyAlignment="1">
      <alignment horizontal="left" indent="1"/>
    </xf>
    <xf numFmtId="0" fontId="0" fillId="0" borderId="4" xfId="0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5" xfId="0" applyBorder="1" applyAlignment="1">
      <alignment horizontal="left"/>
    </xf>
    <xf numFmtId="0" fontId="0" fillId="0" borderId="5" xfId="0" applyNumberFormat="1" applyBorder="1"/>
    <xf numFmtId="0" fontId="0" fillId="0" borderId="9" xfId="0" applyNumberFormat="1" applyBorder="1"/>
  </cellXfs>
  <cellStyles count="1">
    <cellStyle name="Normal" xfId="0" builtinId="0"/>
  </cellStyles>
  <dxfs count="9">
    <dxf>
      <fill>
        <patternFill>
          <bgColor theme="6"/>
        </patternFill>
      </fill>
    </dxf>
    <dxf>
      <fill>
        <patternFill>
          <bgColor theme="5"/>
        </patternFill>
      </fill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[Assessment_AI_MS_Excel.xlsx]Sheet4!PivotTable1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</a:t>
            </a:r>
            <a:r>
              <a:rPr lang="en-IN" baseline="0"/>
              <a:t> wise revenue and profit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&lt;1/5/2025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1">
                  <c:v>92000</c:v>
                </c:pt>
                <c:pt idx="2">
                  <c:v>110400</c:v>
                </c:pt>
                <c:pt idx="3">
                  <c:v>75800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7-463D-9411-F9930840B93D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&lt;1/5/2025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0</c:v>
                </c:pt>
                <c:pt idx="1">
                  <c:v>16560</c:v>
                </c:pt>
                <c:pt idx="2">
                  <c:v>19872</c:v>
                </c:pt>
                <c:pt idx="3">
                  <c:v>13644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7-463D-9411-F9930840B9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6169615"/>
        <c:axId val="796170575"/>
      </c:lineChart>
      <c:catAx>
        <c:axId val="79616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70575"/>
        <c:crosses val="autoZero"/>
        <c:auto val="1"/>
        <c:lblAlgn val="ctr"/>
        <c:lblOffset val="100"/>
        <c:noMultiLvlLbl val="0"/>
      </c:catAx>
      <c:valAx>
        <c:axId val="79617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6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[Assessment_AI_MS_Excel.xlsx]Sheet6!PivotTable3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Revenue Performance”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Sheet6!$A$4:$A$10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</c:v>
                </c:pt>
                <c:pt idx="5">
                  <c:v>(blank)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33300</c:v>
                </c:pt>
                <c:pt idx="1">
                  <c:v>101900</c:v>
                </c:pt>
                <c:pt idx="2">
                  <c:v>42400</c:v>
                </c:pt>
                <c:pt idx="3">
                  <c:v>24800</c:v>
                </c:pt>
                <c:pt idx="4">
                  <c:v>75800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1-4338-B59C-0889DAFBC7A1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Sheet6!$A$4:$A$10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</c:v>
                </c:pt>
                <c:pt idx="5">
                  <c:v>(blank)</c:v>
                </c:pt>
              </c:strCache>
            </c:strRef>
          </c:cat>
          <c:val>
            <c:numRef>
              <c:f>Sheet6!$C$4:$C$10</c:f>
              <c:numCache>
                <c:formatCode>General</c:formatCode>
                <c:ptCount val="6"/>
                <c:pt idx="0">
                  <c:v>5994</c:v>
                </c:pt>
                <c:pt idx="1">
                  <c:v>18342</c:v>
                </c:pt>
                <c:pt idx="2">
                  <c:v>7632</c:v>
                </c:pt>
                <c:pt idx="3">
                  <c:v>4464</c:v>
                </c:pt>
                <c:pt idx="4">
                  <c:v>13644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1-4338-B59C-0889DAFBC7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180175"/>
        <c:axId val="796163855"/>
      </c:barChart>
      <c:catAx>
        <c:axId val="7961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63855"/>
        <c:crosses val="autoZero"/>
        <c:auto val="1"/>
        <c:lblAlgn val="ctr"/>
        <c:lblOffset val="100"/>
        <c:noMultiLvlLbl val="0"/>
      </c:catAx>
      <c:valAx>
        <c:axId val="7961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34290</xdr:rowOff>
    </xdr:from>
    <xdr:to>
      <xdr:col>12</xdr:col>
      <xdr:colOff>548640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F0917-958D-920C-8226-E997939EA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3</xdr:row>
      <xdr:rowOff>38100</xdr:rowOff>
    </xdr:from>
    <xdr:to>
      <xdr:col>15</xdr:col>
      <xdr:colOff>144780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8A9AF-ED51-9774-BAC9-EA9DF0493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i Gupta" refreshedDate="46124.45369652778" createdVersion="8" refreshedVersion="8" minRefreshableVersion="3" recordCount="58" xr:uid="{47A1C56E-A606-42D9-B6A4-FED6BF562500}">
  <cacheSource type="worksheet">
    <worksheetSource ref="D1:D1048576" sheet="Sheet1"/>
  </cacheSource>
  <cacheFields count="1">
    <cacheField name="City" numFmtId="0">
      <sharedItems containsBlank="1" count="36">
        <s v="Delhi"/>
        <s v="Mumbai"/>
        <s v="Gurgaon"/>
        <s v="Pune"/>
        <s v="Bengaluru"/>
        <s v="Jaipur"/>
        <s v="Lucknow"/>
        <s v="Kochi"/>
        <s v="Chandigarh"/>
        <s v="Kolkata"/>
        <s v="Indore"/>
        <s v="Amritsar"/>
        <s v="Noida"/>
        <s v="Hyderabad"/>
        <s v="Surat"/>
        <s v="Chennai"/>
        <s v="Patna"/>
        <s v="Ludhiana"/>
        <s v="Kanpur"/>
        <s v="Trivandrum"/>
        <s v="Ahmedabad"/>
        <s v="Dehradun"/>
        <s v="Faridabad"/>
        <s v="Bhopal"/>
        <s v="Ranchi"/>
        <s v="Varanasi"/>
        <s v="Shimla"/>
        <s v="Guwahati"/>
        <s v="Agra"/>
        <s v="Aligarh"/>
        <s v="Bhubaneswar"/>
        <s v="Jalandhar"/>
        <s v="Nagpur"/>
        <s v="Srinagar"/>
        <s v="Raipu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i Gupta" refreshedDate="46124.481748842591" createdVersion="8" refreshedVersion="8" minRefreshableVersion="3" recordCount="51" xr:uid="{16A92C03-8780-4A1C-8FE4-22AA2BC04565}">
  <cacheSource type="worksheet">
    <worksheetSource name="Table1"/>
  </cacheSource>
  <cacheFields count="22">
    <cacheField name="Customer_ID" numFmtId="0">
      <sharedItems containsBlank="1" count="51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m/>
      </sharedItems>
    </cacheField>
    <cacheField name="Customer_Name" numFmtId="0">
      <sharedItems containsBlank="1"/>
    </cacheField>
    <cacheField name="Clean_City" numFmtId="0">
      <sharedItems/>
    </cacheField>
    <cacheField name="City" numFmtId="0">
      <sharedItems containsBlank="1" count="36">
        <s v="Delhi"/>
        <s v="Mumbai"/>
        <s v="Gurgaon"/>
        <s v="Pune"/>
        <s v="Bengaluru"/>
        <s v="Jaipur"/>
        <s v="Lucknow"/>
        <s v="Kochi"/>
        <s v="Chandigarh"/>
        <s v="Kolkata"/>
        <s v="Indore"/>
        <s v="Amritsar"/>
        <s v="Noida"/>
        <s v="Hyderabad"/>
        <s v="Surat"/>
        <s v="Chennai"/>
        <s v="Patna"/>
        <s v="Ludhiana"/>
        <s v="Kanpur"/>
        <s v="Trivandrum"/>
        <s v="Ahmedabad"/>
        <s v="Dehradun"/>
        <s v="Faridabad"/>
        <s v="Bhopal"/>
        <s v="Ranchi"/>
        <s v="Varanasi"/>
        <s v="Shimla"/>
        <s v="Guwahati"/>
        <s v="Agra"/>
        <s v="Aligarh"/>
        <s v="Bhubaneswar"/>
        <s v="Jalandhar"/>
        <s v="Nagpur"/>
        <s v="Srinagar"/>
        <s v="Raipur"/>
        <m/>
      </sharedItems>
    </cacheField>
    <cacheField name="Signup_Date" numFmtId="14">
      <sharedItems containsNonDate="0" containsDate="1" containsString="0" containsBlank="1" minDate="2025-01-05T00:00:00" maxDate="2025-03-13T00:00:00" count="49">
        <d v="2025-01-05T00:00:00"/>
        <d v="2025-02-10T00:00:00"/>
        <d v="2025-01-15T00:00:00"/>
        <d v="2025-03-01T00:00:00"/>
        <d v="2025-02-20T00:00:00"/>
        <d v="2025-01-22T00:00:00"/>
        <d v="2025-03-05T00:00:00"/>
        <d v="2025-02-28T00:00:00"/>
        <d v="2025-01-30T00:00:00"/>
        <d v="2025-03-10T00:00:00"/>
        <d v="2025-01-18T00:00:00"/>
        <d v="2025-02-14T00:00:00"/>
        <d v="2025-02-02T00:00:00"/>
        <d v="2025-01-25T00:00:00"/>
        <d v="2025-03-11T00:00:00"/>
        <d v="2025-01-09T00:00:00"/>
        <d v="2025-02-19T00:00:00"/>
        <d v="2025-03-03T00:00:00"/>
        <d v="2025-01-27T00:00:00"/>
        <d v="2025-02-22T00:00:00"/>
        <d v="2025-01-13T00:00:00"/>
        <d v="2025-03-12T00:00:00"/>
        <d v="2025-02-08T00:00:00"/>
        <d v="2025-01-20T00:00:00"/>
        <d v="2025-02-24T00:00:00"/>
        <d v="2025-03-02T00:00:00"/>
        <d v="2025-01-16T00:00:00"/>
        <d v="2025-03-06T00:00:00"/>
        <d v="2025-02-01T00:00:00"/>
        <d v="2025-01-28T00:00:00"/>
        <d v="2025-02-17T00:00:00"/>
        <d v="2025-03-04T00:00:00"/>
        <d v="2025-01-19T00:00:00"/>
        <d v="2025-02-12T00:00:00"/>
        <d v="2025-01-08T00:00:00"/>
        <d v="2025-02-05T00:00:00"/>
        <d v="2025-01-26T00:00:00"/>
        <d v="2025-02-18T00:00:00"/>
        <d v="2025-03-08T00:00:00"/>
        <d v="2025-01-12T00:00:00"/>
        <d v="2025-02-16T00:00:00"/>
        <d v="2025-03-09T00:00:00"/>
        <d v="2025-01-31T00:00:00"/>
        <d v="2025-02-07T00:00:00"/>
        <d v="2025-03-07T00:00:00"/>
        <d v="2025-01-21T00:00:00"/>
        <d v="2025-02-13T00:00:00"/>
        <d v="2025-01-17T00:00:00"/>
        <m/>
      </sharedItems>
      <fieldGroup par="21"/>
    </cacheField>
    <cacheField name="Order_ID" numFmtId="0">
      <sharedItems containsBlank="1"/>
    </cacheField>
    <cacheField name="Order_Date" numFmtId="14">
      <sharedItems containsNonDate="0" containsDate="1" containsString="0" containsBlank="1" minDate="2026-03-01T00:00:00" maxDate="2026-03-26T00:00:00"/>
    </cacheField>
    <cacheField name="Product_Category" numFmtId="0">
      <sharedItems containsBlank="1" count="6">
        <s v="Electronics"/>
        <s v="Fashion"/>
        <s v="Home"/>
        <s v="Beauty"/>
        <s v="Grocery"/>
        <m/>
      </sharedItems>
    </cacheField>
    <cacheField name="Product_Name" numFmtId="0">
      <sharedItems containsBlank="1"/>
    </cacheField>
    <cacheField name="Quantity" numFmtId="0">
      <sharedItems containsString="0" containsBlank="1" containsNumber="1" containsInteger="1" minValue="1" maxValue="6"/>
    </cacheField>
    <cacheField name="Unit_Price" numFmtId="0">
      <sharedItems containsString="0" containsBlank="1" containsNumber="1" containsInteger="1" minValue="500" maxValue="18000"/>
    </cacheField>
    <cacheField name="Total_Revenue" numFmtId="0">
      <sharedItems containsString="0" containsBlank="1" containsNumber="1" containsInteger="1" minValue="2700" maxValue="18000"/>
    </cacheField>
    <cacheField name="Payment_Mode" numFmtId="0">
      <sharedItems containsBlank="1"/>
    </cacheField>
    <cacheField name="Cost_Price" numFmtId="0">
      <sharedItems containsSemiMixedTypes="0" containsString="0" containsNumber="1" containsInteger="1" minValue="0" maxValue="14400"/>
    </cacheField>
    <cacheField name="Profit" numFmtId="0">
      <sharedItems containsSemiMixedTypes="0" containsString="0" containsNumber="1" containsInteger="1" minValue="0" maxValue="3240"/>
    </cacheField>
    <cacheField name="Order_Month" numFmtId="0">
      <sharedItems containsBlank="1"/>
    </cacheField>
    <cacheField name="Order_quarter" numFmtId="0">
      <sharedItems containsBlank="1"/>
    </cacheField>
    <cacheField name="Customer Type" numFmtId="0">
      <sharedItems containsBlank="1" count="2">
        <s v="New"/>
        <m/>
      </sharedItems>
    </cacheField>
    <cacheField name="High_value_order_Flag" numFmtId="0">
      <sharedItems containsString="0" containsBlank="1" containsNumber="1" containsInteger="1" minValue="0" maxValue="1"/>
    </cacheField>
    <cacheField name="Delivery_Delay" numFmtId="0">
      <sharedItems containsString="0" containsBlank="1" containsNumber="1" containsInteger="1" minValue="360" maxValue="434"/>
    </cacheField>
    <cacheField name="Days (Signup_Date)" numFmtId="0" databaseField="0">
      <fieldGroup base="4">
        <rangePr groupBy="days" startDate="2025-01-05T00:00:00" endDate="2025-03-13T00:00:00"/>
        <groupItems count="368">
          <s v="&lt;1/5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13/2025"/>
        </groupItems>
      </fieldGroup>
    </cacheField>
    <cacheField name="Months (Signup_Date)" numFmtId="0" databaseField="0">
      <fieldGroup base="4">
        <rangePr groupBy="months" startDate="2025-01-05T00:00:00" endDate="2025-03-13T00:00:00"/>
        <groupItems count="14">
          <s v="&lt;1/5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7"/>
  </r>
  <r>
    <x v="25"/>
  </r>
  <r>
    <x v="0"/>
  </r>
  <r>
    <x v="2"/>
  </r>
  <r>
    <x v="5"/>
  </r>
  <r>
    <x v="0"/>
  </r>
  <r>
    <x v="1"/>
  </r>
  <r>
    <x v="12"/>
  </r>
  <r>
    <x v="9"/>
  </r>
  <r>
    <x v="3"/>
  </r>
  <r>
    <x v="20"/>
  </r>
  <r>
    <x v="15"/>
  </r>
  <r>
    <x v="8"/>
  </r>
  <r>
    <x v="26"/>
  </r>
  <r>
    <x v="27"/>
  </r>
  <r>
    <x v="28"/>
  </r>
  <r>
    <x v="29"/>
  </r>
  <r>
    <x v="30"/>
  </r>
  <r>
    <x v="31"/>
  </r>
  <r>
    <x v="32"/>
  </r>
  <r>
    <x v="23"/>
  </r>
  <r>
    <x v="0"/>
  </r>
  <r>
    <x v="2"/>
  </r>
  <r>
    <x v="33"/>
  </r>
  <r>
    <x v="34"/>
  </r>
  <r>
    <x v="35"/>
  </r>
  <r>
    <x v="35"/>
  </r>
  <r>
    <x v="35"/>
  </r>
  <r>
    <x v="35"/>
  </r>
  <r>
    <x v="35"/>
  </r>
  <r>
    <x v="35"/>
  </r>
  <r>
    <x v="35"/>
  </r>
  <r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Aarav Sharma"/>
    <s v="Delhi"/>
    <x v="0"/>
    <x v="0"/>
    <s v="O1001"/>
    <d v="2026-03-01T00:00:00"/>
    <x v="0"/>
    <s v="Wireless Earbuds"/>
    <n v="2"/>
    <n v="2500"/>
    <n v="5000"/>
    <s v="UPI"/>
    <n v="2000"/>
    <n v="900"/>
    <s v="Mar"/>
    <s v="Q1"/>
    <x v="0"/>
    <n v="0"/>
    <n v="420"/>
  </r>
  <r>
    <x v="1"/>
    <s v="Priya Mehta"/>
    <s v="Mumbai"/>
    <x v="1"/>
    <x v="1"/>
    <s v="O1002"/>
    <d v="2026-03-01T00:00:00"/>
    <x v="1"/>
    <s v="Sneakers"/>
    <n v="1"/>
    <n v="3200"/>
    <n v="3200"/>
    <s v="Card"/>
    <n v="2560"/>
    <n v="576"/>
    <s v="Mar"/>
    <s v="Q1"/>
    <x v="0"/>
    <n v="0"/>
    <n v="384"/>
  </r>
  <r>
    <x v="2"/>
    <s v="Rohan Gupta"/>
    <s v="Gurgaon"/>
    <x v="2"/>
    <x v="2"/>
    <s v="O1003"/>
    <d v="2026-03-02T00:00:00"/>
    <x v="2"/>
    <s v="Blender"/>
    <n v="1"/>
    <n v="4500"/>
    <n v="4500"/>
    <s v="Net Banking"/>
    <n v="3600"/>
    <n v="810"/>
    <s v="Mar"/>
    <s v="Q1"/>
    <x v="0"/>
    <n v="0"/>
    <n v="411"/>
  </r>
  <r>
    <x v="3"/>
    <s v="Sneha Iyer"/>
    <s v="Pune"/>
    <x v="3"/>
    <x v="3"/>
    <s v="O1004"/>
    <d v="2026-03-02T00:00:00"/>
    <x v="3"/>
    <s v="Skincare Kit"/>
    <n v="3"/>
    <n v="1200"/>
    <n v="3600"/>
    <s v="UPI"/>
    <n v="960"/>
    <n v="648"/>
    <s v="Mar"/>
    <s v="Q1"/>
    <x v="0"/>
    <n v="0"/>
    <n v="366"/>
  </r>
  <r>
    <x v="4"/>
    <s v="Aditya Rao"/>
    <s v="Bengaluru"/>
    <x v="4"/>
    <x v="4"/>
    <s v="O1005"/>
    <d v="2026-03-03T00:00:00"/>
    <x v="0"/>
    <s v="Smartwatch"/>
    <n v="1"/>
    <n v="7000"/>
    <n v="7000"/>
    <s v="Card"/>
    <n v="5600"/>
    <n v="1260"/>
    <s v="Mar"/>
    <s v="Q1"/>
    <x v="0"/>
    <n v="1"/>
    <n v="376"/>
  </r>
  <r>
    <x v="5"/>
    <s v="Neha Kapoor"/>
    <s v="Jaipur"/>
    <x v="5"/>
    <x v="5"/>
    <s v="O1006"/>
    <d v="2026-03-03T00:00:00"/>
    <x v="4"/>
    <s v="Organic Pack"/>
    <n v="4"/>
    <n v="800"/>
    <n v="3200"/>
    <s v="UPI"/>
    <n v="640"/>
    <n v="576"/>
    <s v="Mar"/>
    <s v="Q1"/>
    <x v="0"/>
    <n v="0"/>
    <n v="405"/>
  </r>
  <r>
    <x v="6"/>
    <s v="Kunal Verma"/>
    <s v="Lucknow"/>
    <x v="6"/>
    <x v="6"/>
    <s v="O1007"/>
    <d v="2026-03-04T00:00:00"/>
    <x v="1"/>
    <s v="Jacket"/>
    <n v="1"/>
    <n v="5000"/>
    <n v="5000"/>
    <s v="Wallet"/>
    <n v="4000"/>
    <n v="900"/>
    <s v="Mar"/>
    <s v="Q1"/>
    <x v="0"/>
    <n v="0"/>
    <n v="364"/>
  </r>
  <r>
    <x v="7"/>
    <s v="Isha Nair"/>
    <s v="Kochi"/>
    <x v="7"/>
    <x v="7"/>
    <s v="O1008"/>
    <d v="2026-03-04T00:00:00"/>
    <x v="0"/>
    <s v="Tablet"/>
    <n v="1"/>
    <n v="18000"/>
    <n v="18000"/>
    <s v="Card"/>
    <n v="14400"/>
    <n v="3240"/>
    <s v="Mar"/>
    <s v="Q1"/>
    <x v="0"/>
    <n v="1"/>
    <n v="369"/>
  </r>
  <r>
    <x v="8"/>
    <s v="Manav Singh"/>
    <s v="Chandigarh"/>
    <x v="8"/>
    <x v="8"/>
    <s v="O1009"/>
    <d v="2026-03-05T00:00:00"/>
    <x v="2"/>
    <s v="Vacuum Cleaner"/>
    <n v="1"/>
    <n v="8500"/>
    <n v="8500"/>
    <s v="UPI"/>
    <n v="6800"/>
    <n v="1530"/>
    <s v="Mar"/>
    <s v="Q1"/>
    <x v="0"/>
    <n v="1"/>
    <n v="399"/>
  </r>
  <r>
    <x v="9"/>
    <s v="Ananya Das"/>
    <s v="Kolkata"/>
    <x v="9"/>
    <x v="9"/>
    <s v="O1010"/>
    <d v="2026-03-05T00:00:00"/>
    <x v="3"/>
    <s v="Hair Dryer"/>
    <n v="2"/>
    <n v="2200"/>
    <n v="4400"/>
    <s v="Card"/>
    <n v="1760"/>
    <n v="792"/>
    <s v="Mar"/>
    <s v="Q1"/>
    <x v="0"/>
    <n v="0"/>
    <n v="360"/>
  </r>
  <r>
    <x v="10"/>
    <s v="Rahul Jain"/>
    <s v="Indore"/>
    <x v="10"/>
    <x v="10"/>
    <s v="O1011"/>
    <d v="2026-03-06T00:00:00"/>
    <x v="0"/>
    <s v="Bluetooth Speaker"/>
    <n v="2"/>
    <n v="3000"/>
    <n v="6000"/>
    <s v="UPI"/>
    <n v="2400"/>
    <n v="1080"/>
    <s v="Mar"/>
    <s v="Q1"/>
    <x v="0"/>
    <n v="1"/>
    <n v="412"/>
  </r>
  <r>
    <x v="11"/>
    <s v="Simran Kaur"/>
    <s v="Amritsar"/>
    <x v="11"/>
    <x v="11"/>
    <s v="O1012"/>
    <d v="2026-03-06T00:00:00"/>
    <x v="1"/>
    <s v="Handbag"/>
    <n v="1"/>
    <n v="2800"/>
    <n v="2800"/>
    <s v="Card"/>
    <n v="2240"/>
    <n v="504"/>
    <s v="Mar"/>
    <s v="Q1"/>
    <x v="0"/>
    <n v="0"/>
    <n v="385"/>
  </r>
  <r>
    <x v="12"/>
    <s v="Dev Malhotra"/>
    <s v="Noida"/>
    <x v="12"/>
    <x v="12"/>
    <s v="O1013"/>
    <d v="2026-03-07T00:00:00"/>
    <x v="4"/>
    <s v="Dry Fruits Pack"/>
    <n v="3"/>
    <n v="1500"/>
    <n v="4500"/>
    <s v="Wallet"/>
    <n v="1200"/>
    <n v="810"/>
    <s v="Mar"/>
    <s v="Q1"/>
    <x v="0"/>
    <n v="0"/>
    <n v="398"/>
  </r>
  <r>
    <x v="13"/>
    <s v="Riya Sen"/>
    <s v="Hyderabad"/>
    <x v="13"/>
    <x v="13"/>
    <s v="O1014"/>
    <d v="2026-03-07T00:00:00"/>
    <x v="0"/>
    <s v="Laptop Bag"/>
    <n v="2"/>
    <n v="2000"/>
    <n v="4000"/>
    <s v="UPI"/>
    <n v="1600"/>
    <n v="720"/>
    <s v="Mar"/>
    <s v="Q1"/>
    <x v="0"/>
    <n v="0"/>
    <n v="406"/>
  </r>
  <r>
    <x v="14"/>
    <s v="Arjun Bhatia"/>
    <s v="Surat"/>
    <x v="14"/>
    <x v="14"/>
    <s v="O1015"/>
    <d v="2026-03-08T00:00:00"/>
    <x v="2"/>
    <s v="Air Purifier"/>
    <n v="1"/>
    <n v="12000"/>
    <n v="12000"/>
    <s v="Card"/>
    <n v="9600"/>
    <n v="2160"/>
    <s v="Mar"/>
    <s v="Q1"/>
    <x v="0"/>
    <n v="1"/>
    <n v="362"/>
  </r>
  <r>
    <x v="15"/>
    <s v="Meera Pillai"/>
    <s v="Chennai"/>
    <x v="15"/>
    <x v="15"/>
    <s v="O1016"/>
    <d v="2026-03-08T00:00:00"/>
    <x v="3"/>
    <s v="Makeup Kit"/>
    <n v="2"/>
    <n v="3500"/>
    <n v="7000"/>
    <s v="UPI"/>
    <n v="2800"/>
    <n v="1260"/>
    <s v="Mar"/>
    <s v="Q1"/>
    <x v="0"/>
    <n v="1"/>
    <n v="423"/>
  </r>
  <r>
    <x v="16"/>
    <s v="Sarthak Roy"/>
    <s v="Patna"/>
    <x v="16"/>
    <x v="16"/>
    <s v="O1017"/>
    <d v="2026-03-09T00:00:00"/>
    <x v="0"/>
    <s v="Power Bank"/>
    <n v="3"/>
    <n v="1500"/>
    <n v="4500"/>
    <s v="Wallet"/>
    <n v="1200"/>
    <n v="810"/>
    <s v="Mar"/>
    <s v="Q1"/>
    <x v="0"/>
    <n v="0"/>
    <n v="383"/>
  </r>
  <r>
    <x v="17"/>
    <s v="Pooja Arora"/>
    <s v="Ludhiana"/>
    <x v="17"/>
    <x v="17"/>
    <s v="O1018"/>
    <d v="2026-03-09T00:00:00"/>
    <x v="1"/>
    <s v="Watch"/>
    <n v="1"/>
    <n v="6500"/>
    <n v="6500"/>
    <s v="Card"/>
    <n v="5200"/>
    <n v="1170"/>
    <s v="Mar"/>
    <s v="Q1"/>
    <x v="0"/>
    <n v="1"/>
    <n v="371"/>
  </r>
  <r>
    <x v="18"/>
    <s v="Yash Tiwari"/>
    <s v="Kanpur"/>
    <x v="18"/>
    <x v="18"/>
    <s v="O1019"/>
    <d v="2026-03-10T00:00:00"/>
    <x v="4"/>
    <s v="Coffee Beans"/>
    <n v="5"/>
    <n v="600"/>
    <n v="3000"/>
    <s v="UPI"/>
    <n v="480"/>
    <n v="540"/>
    <s v="Mar"/>
    <s v="Q1"/>
    <x v="0"/>
    <n v="0"/>
    <n v="407"/>
  </r>
  <r>
    <x v="19"/>
    <s v="Kavya Menon"/>
    <s v="Trivandrum"/>
    <x v="19"/>
    <x v="19"/>
    <s v="O1020"/>
    <d v="2026-03-10T00:00:00"/>
    <x v="2"/>
    <s v="Microwave Oven"/>
    <n v="1"/>
    <n v="15000"/>
    <n v="15000"/>
    <s v="Net Banking"/>
    <n v="12000"/>
    <n v="2700"/>
    <s v="Mar"/>
    <s v="Q1"/>
    <x v="0"/>
    <n v="1"/>
    <n v="381"/>
  </r>
  <r>
    <x v="20"/>
    <s v="Harsh Patel"/>
    <s v="Ahmedabad"/>
    <x v="20"/>
    <x v="20"/>
    <s v="O1021"/>
    <d v="2026-03-11T00:00:00"/>
    <x v="0"/>
    <s v="Keyboard"/>
    <n v="2"/>
    <n v="1800"/>
    <n v="3600"/>
    <s v="UPI"/>
    <n v="1440"/>
    <n v="648"/>
    <s v="Mar"/>
    <s v="Q1"/>
    <x v="0"/>
    <n v="0"/>
    <n v="422"/>
  </r>
  <r>
    <x v="21"/>
    <s v="Tanvi Sood"/>
    <s v="Dehradun"/>
    <x v="21"/>
    <x v="21"/>
    <s v="O1022"/>
    <d v="2026-03-11T00:00:00"/>
    <x v="3"/>
    <s v="Perfume"/>
    <n v="2"/>
    <n v="2500"/>
    <n v="5000"/>
    <s v="Card"/>
    <n v="2000"/>
    <n v="900"/>
    <s v="Mar"/>
    <s v="Q1"/>
    <x v="0"/>
    <n v="0"/>
    <n v="364"/>
  </r>
  <r>
    <x v="22"/>
    <s v="Nitin Arora"/>
    <s v="Faridabad"/>
    <x v="22"/>
    <x v="22"/>
    <s v="O1023"/>
    <d v="2026-03-12T00:00:00"/>
    <x v="1"/>
    <s v="Formal Shoes"/>
    <n v="1"/>
    <n v="4200"/>
    <n v="4200"/>
    <s v="Wallet"/>
    <n v="3360"/>
    <n v="756"/>
    <s v="Mar"/>
    <s v="Q1"/>
    <x v="0"/>
    <n v="0"/>
    <n v="397"/>
  </r>
  <r>
    <x v="23"/>
    <s v="Sakshi Joshi"/>
    <s v="Bhopal"/>
    <x v="23"/>
    <x v="23"/>
    <s v="O1024"/>
    <d v="2026-03-12T00:00:00"/>
    <x v="2"/>
    <s v="Bedsheet Set"/>
    <n v="3"/>
    <n v="1800"/>
    <n v="5400"/>
    <s v="UPI"/>
    <n v="1440"/>
    <n v="972"/>
    <s v="Mar"/>
    <s v="Q1"/>
    <x v="0"/>
    <n v="1"/>
    <n v="416"/>
  </r>
  <r>
    <x v="24"/>
    <s v="Mohit Sinha"/>
    <s v="Ranchi"/>
    <x v="24"/>
    <x v="24"/>
    <s v="O1025"/>
    <d v="2026-03-13T00:00:00"/>
    <x v="0"/>
    <s v="Monitor"/>
    <n v="1"/>
    <n v="14000"/>
    <n v="14000"/>
    <s v="Card"/>
    <n v="11200"/>
    <n v="2520"/>
    <s v="Mar"/>
    <s v="Q1"/>
    <x v="0"/>
    <n v="1"/>
    <n v="382"/>
  </r>
  <r>
    <x v="25"/>
    <s v="Nisha Thomas"/>
    <s v="Kochi"/>
    <x v="7"/>
    <x v="25"/>
    <s v="O1026"/>
    <d v="2026-03-13T00:00:00"/>
    <x v="4"/>
    <s v="Health Mix"/>
    <n v="4"/>
    <n v="900"/>
    <n v="3600"/>
    <s v="UPI"/>
    <n v="720"/>
    <n v="648"/>
    <s v="Mar"/>
    <s v="Q1"/>
    <x v="0"/>
    <n v="0"/>
    <n v="376"/>
  </r>
  <r>
    <x v="26"/>
    <s v="Akash Yadav"/>
    <s v="Varanasi"/>
    <x v="25"/>
    <x v="26"/>
    <s v="O1027"/>
    <d v="2026-03-14T00:00:00"/>
    <x v="1"/>
    <s v="T-Shirt Pack"/>
    <n v="2"/>
    <n v="1500"/>
    <n v="3000"/>
    <s v="Wallet"/>
    <n v="1200"/>
    <n v="540"/>
    <s v="Mar"/>
    <s v="Q1"/>
    <x v="0"/>
    <n v="0"/>
    <n v="422"/>
  </r>
  <r>
    <x v="27"/>
    <s v="Diya Kapoor"/>
    <s v="Delhi"/>
    <x v="0"/>
    <x v="27"/>
    <s v="O1028"/>
    <d v="2026-03-14T00:00:00"/>
    <x v="3"/>
    <s v="Face Serum"/>
    <n v="2"/>
    <n v="1800"/>
    <n v="3600"/>
    <s v="Card"/>
    <n v="1440"/>
    <n v="648"/>
    <s v="Mar"/>
    <s v="Q1"/>
    <x v="0"/>
    <n v="0"/>
    <n v="373"/>
  </r>
  <r>
    <x v="28"/>
    <s v="Vivek Nanda"/>
    <s v="Gurgaon"/>
    <x v="2"/>
    <x v="28"/>
    <s v="O1029"/>
    <d v="2026-03-15T00:00:00"/>
    <x v="0"/>
    <s v="Router"/>
    <n v="1"/>
    <n v="3500"/>
    <n v="3500"/>
    <s v="UPI"/>
    <n v="2800"/>
    <n v="630"/>
    <s v="Mar"/>
    <s v="Q1"/>
    <x v="0"/>
    <n v="0"/>
    <n v="407"/>
  </r>
  <r>
    <x v="29"/>
    <s v="Ritu Sharma"/>
    <s v="Jaipur"/>
    <x v="5"/>
    <x v="29"/>
    <s v="O1030"/>
    <d v="2026-03-15T00:00:00"/>
    <x v="2"/>
    <s v="Cookware Set"/>
    <n v="1"/>
    <n v="6500"/>
    <n v="6500"/>
    <s v="Net Banking"/>
    <n v="5200"/>
    <n v="1170"/>
    <s v="Mar"/>
    <s v="Q1"/>
    <x v="0"/>
    <n v="1"/>
    <n v="411"/>
  </r>
  <r>
    <x v="30"/>
    <s v="Tushar Goyal"/>
    <s v="Delhi"/>
    <x v="0"/>
    <x v="30"/>
    <s v="O1031"/>
    <d v="2026-03-16T00:00:00"/>
    <x v="0"/>
    <s v="Webcam"/>
    <n v="2"/>
    <n v="2800"/>
    <n v="5600"/>
    <s v="UPI"/>
    <n v="2240"/>
    <n v="1008"/>
    <s v="Mar"/>
    <s v="Q1"/>
    <x v="0"/>
    <n v="1"/>
    <n v="392"/>
  </r>
  <r>
    <x v="31"/>
    <s v="Aditi Rao"/>
    <s v="Mumbai"/>
    <x v="1"/>
    <x v="31"/>
    <s v="O1032"/>
    <d v="2026-03-16T00:00:00"/>
    <x v="1"/>
    <s v="Kurta Set"/>
    <n v="2"/>
    <n v="2200"/>
    <n v="4400"/>
    <s v="Card"/>
    <n v="1760"/>
    <n v="792"/>
    <s v="Mar"/>
    <s v="Q1"/>
    <x v="0"/>
    <n v="0"/>
    <n v="377"/>
  </r>
  <r>
    <x v="32"/>
    <s v="Varun Khanna"/>
    <s v="Noida"/>
    <x v="12"/>
    <x v="32"/>
    <s v="O1033"/>
    <d v="2026-03-17T00:00:00"/>
    <x v="4"/>
    <s v="Protein Bars"/>
    <n v="6"/>
    <n v="500"/>
    <n v="3000"/>
    <s v="Wallet"/>
    <n v="400"/>
    <n v="540"/>
    <s v="Mar"/>
    <s v="Q1"/>
    <x v="0"/>
    <n v="0"/>
    <n v="422"/>
  </r>
  <r>
    <x v="33"/>
    <s v="Shruti Bose"/>
    <s v="Kolkata"/>
    <x v="9"/>
    <x v="33"/>
    <s v="O1034"/>
    <d v="2026-03-17T00:00:00"/>
    <x v="3"/>
    <s v="Sunscreen Pack"/>
    <n v="3"/>
    <n v="900"/>
    <n v="2700"/>
    <s v="UPI"/>
    <n v="720"/>
    <n v="486"/>
    <s v="Mar"/>
    <s v="Q1"/>
    <x v="0"/>
    <n v="0"/>
    <n v="398"/>
  </r>
  <r>
    <x v="34"/>
    <s v="Raghav Sethi"/>
    <s v="Pune"/>
    <x v="3"/>
    <x v="34"/>
    <s v="O1035"/>
    <d v="2026-03-18T00:00:00"/>
    <x v="0"/>
    <s v="Fitness Band"/>
    <n v="1"/>
    <n v="4500"/>
    <n v="4500"/>
    <s v="Card"/>
    <n v="3600"/>
    <n v="810"/>
    <s v="Mar"/>
    <s v="Q1"/>
    <x v="0"/>
    <n v="0"/>
    <n v="434"/>
  </r>
  <r>
    <x v="35"/>
    <s v="Nupur Shah"/>
    <s v="Ahmedabad"/>
    <x v="20"/>
    <x v="3"/>
    <s v="O1036"/>
    <d v="2026-03-18T00:00:00"/>
    <x v="2"/>
    <s v="Lamp Set"/>
    <n v="2"/>
    <n v="1700"/>
    <n v="3400"/>
    <s v="UPI"/>
    <n v="1360"/>
    <n v="612"/>
    <s v="Mar"/>
    <s v="Q1"/>
    <x v="0"/>
    <n v="0"/>
    <n v="382"/>
  </r>
  <r>
    <x v="36"/>
    <s v="Siddharth Paul"/>
    <s v="Chennai"/>
    <x v="15"/>
    <x v="35"/>
    <s v="O1037"/>
    <d v="2026-03-19T00:00:00"/>
    <x v="0"/>
    <s v="Mouse"/>
    <n v="3"/>
    <n v="1200"/>
    <n v="3600"/>
    <s v="Wallet"/>
    <n v="960"/>
    <n v="648"/>
    <s v="Mar"/>
    <s v="Q1"/>
    <x v="0"/>
    <n v="0"/>
    <n v="407"/>
  </r>
  <r>
    <x v="37"/>
    <s v="Ishita Bansal"/>
    <s v="Chandigarh"/>
    <x v="8"/>
    <x v="36"/>
    <s v="O1038"/>
    <d v="2026-03-19T00:00:00"/>
    <x v="1"/>
    <s v="Sunglasses"/>
    <n v="2"/>
    <n v="2500"/>
    <n v="5000"/>
    <s v="Card"/>
    <n v="2000"/>
    <n v="900"/>
    <s v="Mar"/>
    <s v="Q1"/>
    <x v="0"/>
    <n v="0"/>
    <n v="417"/>
  </r>
  <r>
    <x v="38"/>
    <s v="Aman Thakur"/>
    <s v="Shimla"/>
    <x v="26"/>
    <x v="37"/>
    <s v="O1039"/>
    <d v="2026-03-20T00:00:00"/>
    <x v="4"/>
    <s v="Tea Pack"/>
    <n v="5"/>
    <n v="700"/>
    <n v="3500"/>
    <s v="UPI"/>
    <n v="560"/>
    <n v="630"/>
    <s v="Mar"/>
    <s v="Q1"/>
    <x v="0"/>
    <n v="0"/>
    <n v="395"/>
  </r>
  <r>
    <x v="39"/>
    <s v="Rhea Dutta"/>
    <s v="Guwahati"/>
    <x v="27"/>
    <x v="38"/>
    <s v="O1040"/>
    <d v="2026-03-20T00:00:00"/>
    <x v="2"/>
    <s v="Study Chair"/>
    <n v="1"/>
    <n v="9000"/>
    <n v="9000"/>
    <s v="Net Banking"/>
    <n v="7200"/>
    <n v="1620"/>
    <s v="Mar"/>
    <s v="Q1"/>
    <x v="0"/>
    <n v="1"/>
    <n v="377"/>
  </r>
  <r>
    <x v="40"/>
    <s v="Keshav Saxena"/>
    <s v="Agra"/>
    <x v="28"/>
    <x v="39"/>
    <s v="O1041"/>
    <d v="2026-03-21T00:00:00"/>
    <x v="0"/>
    <s v="SSD Drive"/>
    <n v="1"/>
    <n v="8000"/>
    <n v="8000"/>
    <s v="Card"/>
    <n v="6400"/>
    <n v="1440"/>
    <s v="Mar"/>
    <s v="Q1"/>
    <x v="0"/>
    <n v="1"/>
    <n v="433"/>
  </r>
  <r>
    <x v="41"/>
    <s v="Muskan Ali"/>
    <s v="Aligarh"/>
    <x v="29"/>
    <x v="40"/>
    <s v="O1042"/>
    <d v="2026-03-21T00:00:00"/>
    <x v="3"/>
    <s v="Lipstick Set"/>
    <n v="4"/>
    <n v="700"/>
    <n v="2800"/>
    <s v="UPI"/>
    <n v="560"/>
    <n v="504"/>
    <s v="Mar"/>
    <s v="Q1"/>
    <x v="0"/>
    <n v="0"/>
    <n v="398"/>
  </r>
  <r>
    <x v="42"/>
    <s v="Abhishek Das"/>
    <s v="Bhubaneswar"/>
    <x v="30"/>
    <x v="41"/>
    <s v="O1043"/>
    <d v="2026-03-22T00:00:00"/>
    <x v="1"/>
    <s v="Backpack"/>
    <n v="1"/>
    <n v="3800"/>
    <n v="3800"/>
    <s v="Wallet"/>
    <n v="3040"/>
    <n v="684"/>
    <s v="Mar"/>
    <s v="Q1"/>
    <x v="0"/>
    <n v="0"/>
    <n v="378"/>
  </r>
  <r>
    <x v="43"/>
    <s v="Tanya Gill"/>
    <s v="Jalandhar"/>
    <x v="31"/>
    <x v="42"/>
    <s v="O1044"/>
    <d v="2026-03-22T00:00:00"/>
    <x v="2"/>
    <s v="Wall Art"/>
    <n v="2"/>
    <n v="2000"/>
    <n v="4000"/>
    <s v="Card"/>
    <n v="1600"/>
    <n v="720"/>
    <s v="Mar"/>
    <s v="Q1"/>
    <x v="0"/>
    <n v="0"/>
    <n v="415"/>
  </r>
  <r>
    <x v="44"/>
    <s v="Pranav Kulkarni"/>
    <s v="Nagpur"/>
    <x v="32"/>
    <x v="43"/>
    <s v="O1045"/>
    <d v="2026-03-23T00:00:00"/>
    <x v="0"/>
    <s v="Printer"/>
    <n v="1"/>
    <n v="11000"/>
    <n v="11000"/>
    <s v="UPI"/>
    <n v="8800"/>
    <n v="1980"/>
    <s v="Mar"/>
    <s v="Q1"/>
    <x v="0"/>
    <n v="1"/>
    <n v="409"/>
  </r>
  <r>
    <x v="45"/>
    <s v="Ayesha Khan"/>
    <s v="Bhopal"/>
    <x v="23"/>
    <x v="44"/>
    <s v="O1046"/>
    <d v="2026-03-23T00:00:00"/>
    <x v="4"/>
    <s v="Nuts Pack"/>
    <n v="4"/>
    <n v="1000"/>
    <n v="4000"/>
    <s v="Wallet"/>
    <n v="800"/>
    <n v="720"/>
    <s v="Mar"/>
    <s v="Q1"/>
    <x v="0"/>
    <n v="0"/>
    <n v="381"/>
  </r>
  <r>
    <x v="46"/>
    <s v="Rohit Chawla"/>
    <s v="Delhi"/>
    <x v="0"/>
    <x v="45"/>
    <s v="O1047"/>
    <d v="2026-03-24T00:00:00"/>
    <x v="0"/>
    <s v="Smart Bulb"/>
    <n v="3"/>
    <n v="1200"/>
    <n v="3600"/>
    <s v="Card"/>
    <n v="960"/>
    <n v="648"/>
    <s v="Mar"/>
    <s v="Q1"/>
    <x v="0"/>
    <n v="0"/>
    <n v="427"/>
  </r>
  <r>
    <x v="47"/>
    <s v="Kriti Malhotra"/>
    <s v="Gurgaon"/>
    <x v="2"/>
    <x v="46"/>
    <s v="O1048"/>
    <d v="2026-03-24T00:00:00"/>
    <x v="1"/>
    <s v="Heels"/>
    <n v="1"/>
    <n v="4500"/>
    <n v="4500"/>
    <s v="UPI"/>
    <n v="3600"/>
    <n v="810"/>
    <s v="Mar"/>
    <s v="Q1"/>
    <x v="0"/>
    <n v="0"/>
    <n v="404"/>
  </r>
  <r>
    <x v="48"/>
    <s v="Faizan Mir"/>
    <s v="Srinagar"/>
    <x v="33"/>
    <x v="9"/>
    <s v="O1049"/>
    <d v="2026-03-25T00:00:00"/>
    <x v="2"/>
    <s v="Room Heater"/>
    <n v="1"/>
    <n v="7500"/>
    <n v="7500"/>
    <s v="Net Banking"/>
    <n v="6000"/>
    <n v="1350"/>
    <s v="Mar"/>
    <s v="Q1"/>
    <x v="0"/>
    <n v="1"/>
    <n v="380"/>
  </r>
  <r>
    <x v="49"/>
    <s v="Priti Nanda"/>
    <s v="Raipur"/>
    <x v="34"/>
    <x v="47"/>
    <s v="O1050"/>
    <d v="2026-03-25T00:00:00"/>
    <x v="3"/>
    <s v="Body Care Set"/>
    <n v="2"/>
    <n v="2100"/>
    <n v="4200"/>
    <s v="Card"/>
    <n v="1680"/>
    <n v="756"/>
    <s v="Mar"/>
    <s v="Q1"/>
    <x v="0"/>
    <n v="0"/>
    <n v="432"/>
  </r>
  <r>
    <x v="50"/>
    <m/>
    <s v=""/>
    <x v="35"/>
    <x v="48"/>
    <m/>
    <m/>
    <x v="5"/>
    <m/>
    <m/>
    <m/>
    <m/>
    <m/>
    <n v="0"/>
    <n v="0"/>
    <m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651C4-31B7-4EBB-8BF6-C31A7C0BC6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0" firstHeaderRow="1" firstDataRow="1" firstDataCol="1"/>
  <pivotFields count="1">
    <pivotField axis="axisRow" showAll="0">
      <items count="37">
        <item x="28"/>
        <item x="20"/>
        <item x="29"/>
        <item x="11"/>
        <item x="4"/>
        <item x="23"/>
        <item x="30"/>
        <item x="8"/>
        <item x="15"/>
        <item x="21"/>
        <item x="0"/>
        <item x="22"/>
        <item x="2"/>
        <item x="27"/>
        <item x="13"/>
        <item x="10"/>
        <item x="5"/>
        <item x="31"/>
        <item x="18"/>
        <item x="7"/>
        <item x="9"/>
        <item x="6"/>
        <item x="17"/>
        <item x="1"/>
        <item x="32"/>
        <item x="12"/>
        <item x="16"/>
        <item x="3"/>
        <item x="34"/>
        <item x="24"/>
        <item x="26"/>
        <item x="33"/>
        <item x="14"/>
        <item x="19"/>
        <item x="25"/>
        <item x="35"/>
        <item t="default"/>
      </items>
    </pivotField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9BD07-F617-4872-911E-4EB1DD34EE5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6" firstHeaderRow="1" firstDataRow="1" firstDataCol="1"/>
  <pivotFields count="22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axis="axisRow" showAll="0">
      <items count="37">
        <item x="28"/>
        <item x="20"/>
        <item x="29"/>
        <item x="11"/>
        <item x="4"/>
        <item x="23"/>
        <item x="30"/>
        <item x="8"/>
        <item x="15"/>
        <item x="21"/>
        <item x="0"/>
        <item x="22"/>
        <item x="2"/>
        <item x="27"/>
        <item x="13"/>
        <item x="10"/>
        <item x="5"/>
        <item x="31"/>
        <item x="18"/>
        <item x="7"/>
        <item x="9"/>
        <item x="6"/>
        <item x="17"/>
        <item x="1"/>
        <item x="32"/>
        <item x="12"/>
        <item x="16"/>
        <item x="3"/>
        <item x="34"/>
        <item x="24"/>
        <item x="26"/>
        <item x="33"/>
        <item x="14"/>
        <item x="19"/>
        <item x="25"/>
        <item x="35"/>
        <item t="default"/>
      </items>
    </pivotField>
    <pivotField showAll="0">
      <items count="50">
        <item x="0"/>
        <item x="34"/>
        <item x="15"/>
        <item x="39"/>
        <item x="20"/>
        <item x="2"/>
        <item x="26"/>
        <item x="47"/>
        <item x="10"/>
        <item x="32"/>
        <item x="23"/>
        <item x="45"/>
        <item x="5"/>
        <item x="13"/>
        <item x="36"/>
        <item x="18"/>
        <item x="29"/>
        <item x="8"/>
        <item x="42"/>
        <item x="28"/>
        <item x="12"/>
        <item x="35"/>
        <item x="43"/>
        <item x="22"/>
        <item x="1"/>
        <item x="33"/>
        <item x="46"/>
        <item x="11"/>
        <item x="40"/>
        <item x="30"/>
        <item x="37"/>
        <item x="16"/>
        <item x="4"/>
        <item x="19"/>
        <item x="24"/>
        <item x="7"/>
        <item x="3"/>
        <item x="25"/>
        <item x="17"/>
        <item x="31"/>
        <item x="6"/>
        <item x="27"/>
        <item x="44"/>
        <item x="38"/>
        <item x="41"/>
        <item x="9"/>
        <item x="14"/>
        <item x="21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0"/>
    <field x="3"/>
  </rowFields>
  <rowItems count="103">
    <i>
      <x/>
    </i>
    <i r="1">
      <x v="10"/>
    </i>
    <i>
      <x v="1"/>
    </i>
    <i r="1">
      <x v="23"/>
    </i>
    <i>
      <x v="2"/>
    </i>
    <i r="1">
      <x v="12"/>
    </i>
    <i>
      <x v="3"/>
    </i>
    <i r="1">
      <x v="27"/>
    </i>
    <i>
      <x v="4"/>
    </i>
    <i r="1">
      <x v="4"/>
    </i>
    <i>
      <x v="5"/>
    </i>
    <i r="1">
      <x v="16"/>
    </i>
    <i>
      <x v="6"/>
    </i>
    <i r="1">
      <x v="21"/>
    </i>
    <i>
      <x v="7"/>
    </i>
    <i r="1">
      <x v="19"/>
    </i>
    <i>
      <x v="8"/>
    </i>
    <i r="1">
      <x v="7"/>
    </i>
    <i>
      <x v="9"/>
    </i>
    <i r="1">
      <x v="20"/>
    </i>
    <i>
      <x v="10"/>
    </i>
    <i r="1">
      <x v="15"/>
    </i>
    <i>
      <x v="11"/>
    </i>
    <i r="1">
      <x v="3"/>
    </i>
    <i>
      <x v="12"/>
    </i>
    <i r="1">
      <x v="25"/>
    </i>
    <i>
      <x v="13"/>
    </i>
    <i r="1">
      <x v="14"/>
    </i>
    <i>
      <x v="14"/>
    </i>
    <i r="1">
      <x v="32"/>
    </i>
    <i>
      <x v="15"/>
    </i>
    <i r="1">
      <x v="8"/>
    </i>
    <i>
      <x v="16"/>
    </i>
    <i r="1">
      <x v="26"/>
    </i>
    <i>
      <x v="17"/>
    </i>
    <i r="1">
      <x v="22"/>
    </i>
    <i>
      <x v="18"/>
    </i>
    <i r="1">
      <x v="18"/>
    </i>
    <i>
      <x v="19"/>
    </i>
    <i r="1">
      <x v="33"/>
    </i>
    <i>
      <x v="20"/>
    </i>
    <i r="1">
      <x v="1"/>
    </i>
    <i>
      <x v="21"/>
    </i>
    <i r="1">
      <x v="9"/>
    </i>
    <i>
      <x v="22"/>
    </i>
    <i r="1">
      <x v="11"/>
    </i>
    <i>
      <x v="23"/>
    </i>
    <i r="1">
      <x v="5"/>
    </i>
    <i>
      <x v="24"/>
    </i>
    <i r="1">
      <x v="29"/>
    </i>
    <i>
      <x v="25"/>
    </i>
    <i r="1">
      <x v="19"/>
    </i>
    <i>
      <x v="26"/>
    </i>
    <i r="1">
      <x v="34"/>
    </i>
    <i>
      <x v="27"/>
    </i>
    <i r="1">
      <x v="10"/>
    </i>
    <i>
      <x v="28"/>
    </i>
    <i r="1">
      <x v="12"/>
    </i>
    <i>
      <x v="29"/>
    </i>
    <i r="1">
      <x v="16"/>
    </i>
    <i>
      <x v="30"/>
    </i>
    <i r="1">
      <x v="10"/>
    </i>
    <i>
      <x v="31"/>
    </i>
    <i r="1">
      <x v="23"/>
    </i>
    <i>
      <x v="32"/>
    </i>
    <i r="1">
      <x v="25"/>
    </i>
    <i>
      <x v="33"/>
    </i>
    <i r="1">
      <x v="20"/>
    </i>
    <i>
      <x v="34"/>
    </i>
    <i r="1">
      <x v="27"/>
    </i>
    <i>
      <x v="35"/>
    </i>
    <i r="1">
      <x v="1"/>
    </i>
    <i>
      <x v="36"/>
    </i>
    <i r="1">
      <x v="8"/>
    </i>
    <i>
      <x v="37"/>
    </i>
    <i r="1">
      <x v="7"/>
    </i>
    <i>
      <x v="38"/>
    </i>
    <i r="1">
      <x v="30"/>
    </i>
    <i>
      <x v="39"/>
    </i>
    <i r="1">
      <x v="13"/>
    </i>
    <i>
      <x v="40"/>
    </i>
    <i r="1">
      <x/>
    </i>
    <i>
      <x v="41"/>
    </i>
    <i r="1">
      <x v="2"/>
    </i>
    <i>
      <x v="42"/>
    </i>
    <i r="1">
      <x v="6"/>
    </i>
    <i>
      <x v="43"/>
    </i>
    <i r="1">
      <x v="17"/>
    </i>
    <i>
      <x v="44"/>
    </i>
    <i r="1">
      <x v="24"/>
    </i>
    <i>
      <x v="45"/>
    </i>
    <i r="1">
      <x v="5"/>
    </i>
    <i>
      <x v="46"/>
    </i>
    <i r="1">
      <x v="10"/>
    </i>
    <i>
      <x v="47"/>
    </i>
    <i r="1">
      <x v="12"/>
    </i>
    <i>
      <x v="48"/>
    </i>
    <i r="1">
      <x v="31"/>
    </i>
    <i>
      <x v="49"/>
    </i>
    <i r="1">
      <x v="28"/>
    </i>
    <i>
      <x v="50"/>
    </i>
    <i r="1">
      <x v="35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7A202-0781-4646-864C-3D76C0C358C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8" firstHeaderRow="0" firstDataRow="1" firstDataCol="1"/>
  <pivotFields count="22">
    <pivotField showAll="0"/>
    <pivotField showAll="0"/>
    <pivotField showAll="0"/>
    <pivotField showAll="0"/>
    <pivotField axis="axisRow" showAll="0">
      <items count="50">
        <item x="0"/>
        <item x="34"/>
        <item x="15"/>
        <item x="39"/>
        <item x="20"/>
        <item x="2"/>
        <item x="26"/>
        <item x="47"/>
        <item x="10"/>
        <item x="32"/>
        <item x="23"/>
        <item x="45"/>
        <item x="5"/>
        <item x="13"/>
        <item x="36"/>
        <item x="18"/>
        <item x="29"/>
        <item x="8"/>
        <item x="42"/>
        <item x="28"/>
        <item x="12"/>
        <item x="35"/>
        <item x="43"/>
        <item x="22"/>
        <item x="1"/>
        <item x="33"/>
        <item x="46"/>
        <item x="11"/>
        <item x="40"/>
        <item x="30"/>
        <item x="37"/>
        <item x="16"/>
        <item x="4"/>
        <item x="19"/>
        <item x="24"/>
        <item x="7"/>
        <item x="3"/>
        <item x="25"/>
        <item x="17"/>
        <item x="31"/>
        <item x="6"/>
        <item x="27"/>
        <item x="44"/>
        <item x="38"/>
        <item x="41"/>
        <item x="9"/>
        <item x="14"/>
        <item x="21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1"/>
    <field x="20"/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11" baseField="0" baseItem="0"/>
    <dataField name="Sum of Profit" fld="1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0B214-BD20-4B70-BA42-6A87D9120C3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22">
    <pivotField showAll="0"/>
    <pivotField showAll="0"/>
    <pivotField showAll="0"/>
    <pivotField showAll="0"/>
    <pivotField showAll="0">
      <items count="50">
        <item x="0"/>
        <item x="34"/>
        <item x="15"/>
        <item x="39"/>
        <item x="20"/>
        <item x="2"/>
        <item x="26"/>
        <item x="47"/>
        <item x="10"/>
        <item x="32"/>
        <item x="23"/>
        <item x="45"/>
        <item x="5"/>
        <item x="13"/>
        <item x="36"/>
        <item x="18"/>
        <item x="29"/>
        <item x="8"/>
        <item x="42"/>
        <item x="28"/>
        <item x="12"/>
        <item x="35"/>
        <item x="43"/>
        <item x="22"/>
        <item x="1"/>
        <item x="33"/>
        <item x="46"/>
        <item x="11"/>
        <item x="40"/>
        <item x="30"/>
        <item x="37"/>
        <item x="16"/>
        <item x="4"/>
        <item x="19"/>
        <item x="24"/>
        <item x="7"/>
        <item x="3"/>
        <item x="25"/>
        <item x="17"/>
        <item x="31"/>
        <item x="6"/>
        <item x="27"/>
        <item x="44"/>
        <item x="38"/>
        <item x="41"/>
        <item x="9"/>
        <item x="14"/>
        <item x="21"/>
        <item x="48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11" baseField="0" baseItem="0"/>
    <dataField name="Count of Order_ID" fld="5" subtotal="count" baseField="17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7828A-818E-47B3-B46E-3286274A06B1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" firstHeaderRow="0" firstDataRow="1" firstDataCol="1"/>
  <pivotFields count="22">
    <pivotField showAll="0"/>
    <pivotField showAll="0"/>
    <pivotField showAll="0"/>
    <pivotField showAll="0"/>
    <pivotField showAll="0">
      <items count="50">
        <item x="0"/>
        <item x="34"/>
        <item x="15"/>
        <item x="39"/>
        <item x="20"/>
        <item x="2"/>
        <item x="26"/>
        <item x="47"/>
        <item x="10"/>
        <item x="32"/>
        <item x="23"/>
        <item x="45"/>
        <item x="5"/>
        <item x="13"/>
        <item x="36"/>
        <item x="18"/>
        <item x="29"/>
        <item x="8"/>
        <item x="42"/>
        <item x="28"/>
        <item x="12"/>
        <item x="35"/>
        <item x="43"/>
        <item x="22"/>
        <item x="1"/>
        <item x="33"/>
        <item x="46"/>
        <item x="11"/>
        <item x="40"/>
        <item x="30"/>
        <item x="37"/>
        <item x="16"/>
        <item x="4"/>
        <item x="19"/>
        <item x="24"/>
        <item x="7"/>
        <item x="3"/>
        <item x="25"/>
        <item x="17"/>
        <item x="31"/>
        <item x="6"/>
        <item x="27"/>
        <item x="44"/>
        <item x="38"/>
        <item x="41"/>
        <item x="9"/>
        <item x="14"/>
        <item x="21"/>
        <item x="48"/>
        <item t="default"/>
      </items>
    </pivotField>
    <pivotField showAll="0"/>
    <pivotField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11" baseField="0" baseItem="0"/>
    <dataField name="Sum of Profit" fld="1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54">
  <autoFilter ref="A1:W54" xr:uid="{00000000-000C-0000-FFFF-FFFF00000000}"/>
  <tableColumns count="23">
    <tableColumn id="1" xr3:uid="{00000000-0010-0000-0000-000001000000}" name="Customer_ID"/>
    <tableColumn id="2" xr3:uid="{00000000-0010-0000-0000-000002000000}" name="Customer_Name"/>
    <tableColumn id="13" xr3:uid="{F05B3B21-46BC-415F-B6B2-83815334D6E9}" name="Clean_City" dataDxfId="4">
      <calculatedColumnFormula>PROPER(TRIM(D2))</calculatedColumnFormula>
    </tableColumn>
    <tableColumn id="3" xr3:uid="{00000000-0010-0000-0000-000003000000}" name="City"/>
    <tableColumn id="4" xr3:uid="{00000000-0010-0000-0000-000004000000}" name="Signup_Date" dataDxfId="3"/>
    <tableColumn id="5" xr3:uid="{00000000-0010-0000-0000-000005000000}" name="Order_ID"/>
    <tableColumn id="6" xr3:uid="{00000000-0010-0000-0000-000006000000}" name="Order_Date" dataDxfId="2"/>
    <tableColumn id="7" xr3:uid="{00000000-0010-0000-0000-000007000000}" name="Product_Category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Total_Revenue"/>
    <tableColumn id="12" xr3:uid="{00000000-0010-0000-0000-00000C000000}" name="Payment_Mode"/>
    <tableColumn id="14" xr3:uid="{45CDABCF-1B9C-444F-B7E1-3885EADC6792}" name="Cost_Price">
      <calculatedColumnFormula>K2*0.8</calculatedColumnFormula>
    </tableColumn>
    <tableColumn id="15" xr3:uid="{E5289E4D-C9A3-4225-9B08-496A315D0C13}" name="Profit">
      <calculatedColumnFormula>(K2-N2)*J2*(1-0.1)</calculatedColumnFormula>
    </tableColumn>
    <tableColumn id="16" xr3:uid="{538A53F7-2F7C-434F-83D9-5D2BD658E831}" name="Order_Month">
      <calculatedColumnFormula>TEXT(G2,"MMM")</calculatedColumnFormula>
    </tableColumn>
    <tableColumn id="17" xr3:uid="{A704680F-E2F1-4972-B55D-607037A60900}" name="Order_quarter">
      <calculatedColumnFormula>"Q"&amp;INT((MONTH(G2)-1)/3)+1</calculatedColumnFormula>
    </tableColumn>
    <tableColumn id="18" xr3:uid="{ED697C0D-5C3E-4F3D-A662-5BBD8C40C382}" name="Customer Type"/>
    <tableColumn id="19" xr3:uid="{A3E147E8-F6A2-4C25-BA7B-C166372737C1}" name="High_value_order_Flag"/>
    <tableColumn id="20" xr3:uid="{A4C71968-05D8-4743-B1E9-B51B4ECFCBD5}" name="Delivery_Delay"/>
    <tableColumn id="21" xr3:uid="{0011F3B4-1E8D-4D75-8DC1-006BA2C1CF03}" name="Discount_PT"/>
    <tableColumn id="22" xr3:uid="{AA44817E-DF3F-4946-B866-3C449A860D08}" name="Cost_Price_PT"/>
    <tableColumn id="23" xr3:uid="{CE7693DA-A4B5-4D97-AAFF-4810986FA14E}" name="PROFIT_TABLE_PT">
      <calculatedColumnFormula>(K2-V2)*J2*(1-U2)</calculatedColumnFormula>
    </tableColumn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48CD-608C-4C6E-BC79-DAD1B85C7465}">
  <dimension ref="A3:A40"/>
  <sheetViews>
    <sheetView workbookViewId="0">
      <selection activeCell="B3" sqref="B3"/>
    </sheetView>
  </sheetViews>
  <sheetFormatPr defaultRowHeight="13.2" x14ac:dyDescent="0.25"/>
  <cols>
    <col min="1" max="1" width="12.44140625" bestFit="1" customWidth="1"/>
  </cols>
  <sheetData>
    <row r="3" spans="1:1" x14ac:dyDescent="0.25">
      <c r="A3" s="10" t="s">
        <v>256</v>
      </c>
    </row>
    <row r="4" spans="1:1" x14ac:dyDescent="0.25">
      <c r="A4" s="11" t="s">
        <v>211</v>
      </c>
    </row>
    <row r="5" spans="1:1" x14ac:dyDescent="0.25">
      <c r="A5" s="12" t="s">
        <v>123</v>
      </c>
    </row>
    <row r="6" spans="1:1" x14ac:dyDescent="0.25">
      <c r="A6" s="12" t="s">
        <v>216</v>
      </c>
    </row>
    <row r="7" spans="1:1" x14ac:dyDescent="0.25">
      <c r="A7" s="12" t="s">
        <v>78</v>
      </c>
    </row>
    <row r="8" spans="1:1" x14ac:dyDescent="0.25">
      <c r="A8" s="12" t="s">
        <v>41</v>
      </c>
    </row>
    <row r="9" spans="1:1" x14ac:dyDescent="0.25">
      <c r="A9" s="12" t="s">
        <v>138</v>
      </c>
    </row>
    <row r="10" spans="1:1" x14ac:dyDescent="0.25">
      <c r="A10" s="12" t="s">
        <v>221</v>
      </c>
    </row>
    <row r="11" spans="1:1" x14ac:dyDescent="0.25">
      <c r="A11" s="12" t="s">
        <v>63</v>
      </c>
    </row>
    <row r="12" spans="1:1" x14ac:dyDescent="0.25">
      <c r="A12" s="12" t="s">
        <v>98</v>
      </c>
    </row>
    <row r="13" spans="1:1" x14ac:dyDescent="0.25">
      <c r="A13" s="12" t="s">
        <v>128</v>
      </c>
    </row>
    <row r="14" spans="1:1" x14ac:dyDescent="0.25">
      <c r="A14" s="12" t="s">
        <v>14</v>
      </c>
    </row>
    <row r="15" spans="1:1" x14ac:dyDescent="0.25">
      <c r="A15" s="12" t="s">
        <v>133</v>
      </c>
    </row>
    <row r="16" spans="1:1" x14ac:dyDescent="0.25">
      <c r="A16" s="12" t="s">
        <v>28</v>
      </c>
    </row>
    <row r="17" spans="1:1" x14ac:dyDescent="0.25">
      <c r="A17" s="12" t="s">
        <v>206</v>
      </c>
    </row>
    <row r="18" spans="1:1" x14ac:dyDescent="0.25">
      <c r="A18" s="12" t="s">
        <v>88</v>
      </c>
    </row>
    <row r="19" spans="1:1" x14ac:dyDescent="0.25">
      <c r="A19" s="12" t="s">
        <v>73</v>
      </c>
    </row>
    <row r="20" spans="1:1" x14ac:dyDescent="0.25">
      <c r="A20" s="12" t="s">
        <v>46</v>
      </c>
    </row>
    <row r="21" spans="1:1" x14ac:dyDescent="0.25">
      <c r="A21" s="12" t="s">
        <v>226</v>
      </c>
    </row>
    <row r="22" spans="1:1" x14ac:dyDescent="0.25">
      <c r="A22" s="12" t="s">
        <v>113</v>
      </c>
    </row>
    <row r="23" spans="1:1" x14ac:dyDescent="0.25">
      <c r="A23" s="12" t="s">
        <v>58</v>
      </c>
    </row>
    <row r="24" spans="1:1" x14ac:dyDescent="0.25">
      <c r="A24" s="12" t="s">
        <v>68</v>
      </c>
    </row>
    <row r="25" spans="1:1" x14ac:dyDescent="0.25">
      <c r="A25" s="12" t="s">
        <v>52</v>
      </c>
    </row>
    <row r="26" spans="1:1" x14ac:dyDescent="0.25">
      <c r="A26" s="12" t="s">
        <v>108</v>
      </c>
    </row>
    <row r="27" spans="1:1" x14ac:dyDescent="0.25">
      <c r="A27" s="12" t="s">
        <v>21</v>
      </c>
    </row>
    <row r="28" spans="1:1" x14ac:dyDescent="0.25">
      <c r="A28" s="12" t="s">
        <v>231</v>
      </c>
    </row>
    <row r="29" spans="1:1" x14ac:dyDescent="0.25">
      <c r="A29" s="12" t="s">
        <v>83</v>
      </c>
    </row>
    <row r="30" spans="1:1" x14ac:dyDescent="0.25">
      <c r="A30" s="12" t="s">
        <v>103</v>
      </c>
    </row>
    <row r="31" spans="1:1" x14ac:dyDescent="0.25">
      <c r="A31" s="12" t="s">
        <v>35</v>
      </c>
    </row>
    <row r="32" spans="1:1" x14ac:dyDescent="0.25">
      <c r="A32" s="12" t="s">
        <v>253</v>
      </c>
    </row>
    <row r="33" spans="1:1" x14ac:dyDescent="0.25">
      <c r="A33" s="12" t="s">
        <v>143</v>
      </c>
    </row>
    <row r="34" spans="1:1" x14ac:dyDescent="0.25">
      <c r="A34" s="12" t="s">
        <v>201</v>
      </c>
    </row>
    <row r="35" spans="1:1" x14ac:dyDescent="0.25">
      <c r="A35" s="12" t="s">
        <v>248</v>
      </c>
    </row>
    <row r="36" spans="1:1" x14ac:dyDescent="0.25">
      <c r="A36" s="12" t="s">
        <v>93</v>
      </c>
    </row>
    <row r="37" spans="1:1" x14ac:dyDescent="0.25">
      <c r="A37" s="12" t="s">
        <v>118</v>
      </c>
    </row>
    <row r="38" spans="1:1" x14ac:dyDescent="0.25">
      <c r="A38" s="12" t="s">
        <v>152</v>
      </c>
    </row>
    <row r="39" spans="1:1" x14ac:dyDescent="0.25">
      <c r="A39" s="12" t="s">
        <v>257</v>
      </c>
    </row>
    <row r="40" spans="1:1" x14ac:dyDescent="0.25">
      <c r="A40" s="13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C6B3-4527-4BB6-A63D-C12D613C1378}">
  <dimension ref="A3:A106"/>
  <sheetViews>
    <sheetView topLeftCell="A15" workbookViewId="0">
      <selection activeCell="A3" sqref="A3"/>
    </sheetView>
  </sheetViews>
  <sheetFormatPr defaultRowHeight="13.2" x14ac:dyDescent="0.25"/>
  <cols>
    <col min="1" max="1" width="16.21875" bestFit="1" customWidth="1"/>
    <col min="2" max="2" width="15.109375" bestFit="1" customWidth="1"/>
    <col min="3" max="3" width="10.6640625" bestFit="1" customWidth="1"/>
    <col min="4" max="4" width="6.6640625" bestFit="1" customWidth="1"/>
    <col min="5" max="5" width="7.77734375" bestFit="1" customWidth="1"/>
    <col min="6" max="6" width="9.21875" bestFit="1" customWidth="1"/>
    <col min="7" max="7" width="6.5546875" bestFit="1" customWidth="1"/>
    <col min="8" max="8" width="12" bestFit="1" customWidth="1"/>
    <col min="9" max="9" width="10.44140625" bestFit="1" customWidth="1"/>
    <col min="10" max="10" width="7.77734375" bestFit="1" customWidth="1"/>
    <col min="11" max="11" width="9" bestFit="1" customWidth="1"/>
    <col min="12" max="12" width="5.109375" bestFit="1" customWidth="1"/>
    <col min="13" max="13" width="9.21875" bestFit="1" customWidth="1"/>
    <col min="14" max="14" width="8" bestFit="1" customWidth="1"/>
    <col min="15" max="15" width="8.44140625" bestFit="1" customWidth="1"/>
    <col min="16" max="16" width="9.88671875" bestFit="1" customWidth="1"/>
    <col min="17" max="17" width="6.21875" bestFit="1" customWidth="1"/>
    <col min="18" max="18" width="6.109375" bestFit="1" customWidth="1"/>
    <col min="19" max="19" width="9" bestFit="1" customWidth="1"/>
    <col min="20" max="20" width="6.88671875" bestFit="1" customWidth="1"/>
    <col min="21" max="21" width="5.6640625" bestFit="1" customWidth="1"/>
    <col min="22" max="22" width="6.88671875" bestFit="1" customWidth="1"/>
    <col min="23" max="23" width="8.109375" bestFit="1" customWidth="1"/>
    <col min="24" max="24" width="8.44140625" bestFit="1" customWidth="1"/>
    <col min="25" max="25" width="7.33203125" bestFit="1" customWidth="1"/>
    <col min="26" max="26" width="6.88671875" bestFit="1" customWidth="1"/>
    <col min="27" max="28" width="5.6640625" bestFit="1" customWidth="1"/>
    <col min="29" max="29" width="5.21875" bestFit="1" customWidth="1"/>
    <col min="30" max="30" width="6.33203125" bestFit="1" customWidth="1"/>
    <col min="31" max="31" width="6.6640625" bestFit="1" customWidth="1"/>
    <col min="32" max="32" width="6.44140625" bestFit="1" customWidth="1"/>
    <col min="33" max="33" width="8" bestFit="1" customWidth="1"/>
    <col min="34" max="34" width="5.33203125" bestFit="1" customWidth="1"/>
    <col min="35" max="35" width="10" bestFit="1" customWidth="1"/>
    <col min="36" max="36" width="8.21875" bestFit="1" customWidth="1"/>
    <col min="37" max="37" width="6.5546875" bestFit="1" customWidth="1"/>
    <col min="38" max="38" width="10.33203125" bestFit="1" customWidth="1"/>
  </cols>
  <sheetData>
    <row r="3" spans="1:1" x14ac:dyDescent="0.25">
      <c r="A3" s="10" t="s">
        <v>256</v>
      </c>
    </row>
    <row r="4" spans="1:1" x14ac:dyDescent="0.25">
      <c r="A4" s="11" t="s">
        <v>12</v>
      </c>
    </row>
    <row r="5" spans="1:1" x14ac:dyDescent="0.25">
      <c r="A5" s="15" t="s">
        <v>14</v>
      </c>
    </row>
    <row r="6" spans="1:1" x14ac:dyDescent="0.25">
      <c r="A6" s="12" t="s">
        <v>19</v>
      </c>
    </row>
    <row r="7" spans="1:1" x14ac:dyDescent="0.25">
      <c r="A7" s="15" t="s">
        <v>21</v>
      </c>
    </row>
    <row r="8" spans="1:1" x14ac:dyDescent="0.25">
      <c r="A8" s="12" t="s">
        <v>26</v>
      </c>
    </row>
    <row r="9" spans="1:1" x14ac:dyDescent="0.25">
      <c r="A9" s="15" t="s">
        <v>28</v>
      </c>
    </row>
    <row r="10" spans="1:1" x14ac:dyDescent="0.25">
      <c r="A10" s="12" t="s">
        <v>33</v>
      </c>
    </row>
    <row r="11" spans="1:1" x14ac:dyDescent="0.25">
      <c r="A11" s="15" t="s">
        <v>35</v>
      </c>
    </row>
    <row r="12" spans="1:1" x14ac:dyDescent="0.25">
      <c r="A12" s="12" t="s">
        <v>39</v>
      </c>
    </row>
    <row r="13" spans="1:1" x14ac:dyDescent="0.25">
      <c r="A13" s="15" t="s">
        <v>41</v>
      </c>
    </row>
    <row r="14" spans="1:1" x14ac:dyDescent="0.25">
      <c r="A14" s="12" t="s">
        <v>44</v>
      </c>
    </row>
    <row r="15" spans="1:1" x14ac:dyDescent="0.25">
      <c r="A15" s="15" t="s">
        <v>46</v>
      </c>
    </row>
    <row r="16" spans="1:1" x14ac:dyDescent="0.25">
      <c r="A16" s="12" t="s">
        <v>50</v>
      </c>
    </row>
    <row r="17" spans="1:1" x14ac:dyDescent="0.25">
      <c r="A17" s="15" t="s">
        <v>52</v>
      </c>
    </row>
    <row r="18" spans="1:1" x14ac:dyDescent="0.25">
      <c r="A18" s="12" t="s">
        <v>56</v>
      </c>
    </row>
    <row r="19" spans="1:1" x14ac:dyDescent="0.25">
      <c r="A19" s="15" t="s">
        <v>58</v>
      </c>
    </row>
    <row r="20" spans="1:1" x14ac:dyDescent="0.25">
      <c r="A20" s="12" t="s">
        <v>61</v>
      </c>
    </row>
    <row r="21" spans="1:1" x14ac:dyDescent="0.25">
      <c r="A21" s="15" t="s">
        <v>63</v>
      </c>
    </row>
    <row r="22" spans="1:1" x14ac:dyDescent="0.25">
      <c r="A22" s="12" t="s">
        <v>66</v>
      </c>
    </row>
    <row r="23" spans="1:1" x14ac:dyDescent="0.25">
      <c r="A23" s="15" t="s">
        <v>68</v>
      </c>
    </row>
    <row r="24" spans="1:1" x14ac:dyDescent="0.25">
      <c r="A24" s="12" t="s">
        <v>71</v>
      </c>
    </row>
    <row r="25" spans="1:1" x14ac:dyDescent="0.25">
      <c r="A25" s="15" t="s">
        <v>73</v>
      </c>
    </row>
    <row r="26" spans="1:1" x14ac:dyDescent="0.25">
      <c r="A26" s="12" t="s">
        <v>76</v>
      </c>
    </row>
    <row r="27" spans="1:1" x14ac:dyDescent="0.25">
      <c r="A27" s="15" t="s">
        <v>78</v>
      </c>
    </row>
    <row r="28" spans="1:1" x14ac:dyDescent="0.25">
      <c r="A28" s="12" t="s">
        <v>81</v>
      </c>
    </row>
    <row r="29" spans="1:1" x14ac:dyDescent="0.25">
      <c r="A29" s="15" t="s">
        <v>83</v>
      </c>
    </row>
    <row r="30" spans="1:1" x14ac:dyDescent="0.25">
      <c r="A30" s="12" t="s">
        <v>86</v>
      </c>
    </row>
    <row r="31" spans="1:1" x14ac:dyDescent="0.25">
      <c r="A31" s="15" t="s">
        <v>88</v>
      </c>
    </row>
    <row r="32" spans="1:1" x14ac:dyDescent="0.25">
      <c r="A32" s="12" t="s">
        <v>91</v>
      </c>
    </row>
    <row r="33" spans="1:1" x14ac:dyDescent="0.25">
      <c r="A33" s="15" t="s">
        <v>93</v>
      </c>
    </row>
    <row r="34" spans="1:1" x14ac:dyDescent="0.25">
      <c r="A34" s="12" t="s">
        <v>96</v>
      </c>
    </row>
    <row r="35" spans="1:1" x14ac:dyDescent="0.25">
      <c r="A35" s="15" t="s">
        <v>98</v>
      </c>
    </row>
    <row r="36" spans="1:1" x14ac:dyDescent="0.25">
      <c r="A36" s="12" t="s">
        <v>101</v>
      </c>
    </row>
    <row r="37" spans="1:1" x14ac:dyDescent="0.25">
      <c r="A37" s="15" t="s">
        <v>103</v>
      </c>
    </row>
    <row r="38" spans="1:1" x14ac:dyDescent="0.25">
      <c r="A38" s="12" t="s">
        <v>106</v>
      </c>
    </row>
    <row r="39" spans="1:1" x14ac:dyDescent="0.25">
      <c r="A39" s="15" t="s">
        <v>108</v>
      </c>
    </row>
    <row r="40" spans="1:1" x14ac:dyDescent="0.25">
      <c r="A40" s="12" t="s">
        <v>111</v>
      </c>
    </row>
    <row r="41" spans="1:1" x14ac:dyDescent="0.25">
      <c r="A41" s="15" t="s">
        <v>113</v>
      </c>
    </row>
    <row r="42" spans="1:1" x14ac:dyDescent="0.25">
      <c r="A42" s="12" t="s">
        <v>116</v>
      </c>
    </row>
    <row r="43" spans="1:1" x14ac:dyDescent="0.25">
      <c r="A43" s="15" t="s">
        <v>118</v>
      </c>
    </row>
    <row r="44" spans="1:1" x14ac:dyDescent="0.25">
      <c r="A44" s="12" t="s">
        <v>121</v>
      </c>
    </row>
    <row r="45" spans="1:1" x14ac:dyDescent="0.25">
      <c r="A45" s="15" t="s">
        <v>123</v>
      </c>
    </row>
    <row r="46" spans="1:1" x14ac:dyDescent="0.25">
      <c r="A46" s="12" t="s">
        <v>126</v>
      </c>
    </row>
    <row r="47" spans="1:1" x14ac:dyDescent="0.25">
      <c r="A47" s="15" t="s">
        <v>128</v>
      </c>
    </row>
    <row r="48" spans="1:1" x14ac:dyDescent="0.25">
      <c r="A48" s="12" t="s">
        <v>131</v>
      </c>
    </row>
    <row r="49" spans="1:1" x14ac:dyDescent="0.25">
      <c r="A49" s="15" t="s">
        <v>133</v>
      </c>
    </row>
    <row r="50" spans="1:1" x14ac:dyDescent="0.25">
      <c r="A50" s="12" t="s">
        <v>136</v>
      </c>
    </row>
    <row r="51" spans="1:1" x14ac:dyDescent="0.25">
      <c r="A51" s="15" t="s">
        <v>138</v>
      </c>
    </row>
    <row r="52" spans="1:1" x14ac:dyDescent="0.25">
      <c r="A52" s="12" t="s">
        <v>141</v>
      </c>
    </row>
    <row r="53" spans="1:1" x14ac:dyDescent="0.25">
      <c r="A53" s="15" t="s">
        <v>143</v>
      </c>
    </row>
    <row r="54" spans="1:1" x14ac:dyDescent="0.25">
      <c r="A54" s="12" t="s">
        <v>146</v>
      </c>
    </row>
    <row r="55" spans="1:1" x14ac:dyDescent="0.25">
      <c r="A55" s="15" t="s">
        <v>58</v>
      </c>
    </row>
    <row r="56" spans="1:1" x14ac:dyDescent="0.25">
      <c r="A56" s="12" t="s">
        <v>150</v>
      </c>
    </row>
    <row r="57" spans="1:1" x14ac:dyDescent="0.25">
      <c r="A57" s="15" t="s">
        <v>152</v>
      </c>
    </row>
    <row r="58" spans="1:1" x14ac:dyDescent="0.25">
      <c r="A58" s="12" t="s">
        <v>155</v>
      </c>
    </row>
    <row r="59" spans="1:1" x14ac:dyDescent="0.25">
      <c r="A59" s="15" t="s">
        <v>14</v>
      </c>
    </row>
    <row r="60" spans="1:1" x14ac:dyDescent="0.25">
      <c r="A60" s="12" t="s">
        <v>159</v>
      </c>
    </row>
    <row r="61" spans="1:1" x14ac:dyDescent="0.25">
      <c r="A61" s="15" t="s">
        <v>28</v>
      </c>
    </row>
    <row r="62" spans="1:1" x14ac:dyDescent="0.25">
      <c r="A62" s="12" t="s">
        <v>163</v>
      </c>
    </row>
    <row r="63" spans="1:1" x14ac:dyDescent="0.25">
      <c r="A63" s="15" t="s">
        <v>46</v>
      </c>
    </row>
    <row r="64" spans="1:1" x14ac:dyDescent="0.25">
      <c r="A64" s="12" t="s">
        <v>167</v>
      </c>
    </row>
    <row r="65" spans="1:1" x14ac:dyDescent="0.25">
      <c r="A65" s="15" t="s">
        <v>14</v>
      </c>
    </row>
    <row r="66" spans="1:1" x14ac:dyDescent="0.25">
      <c r="A66" s="12" t="s">
        <v>171</v>
      </c>
    </row>
    <row r="67" spans="1:1" x14ac:dyDescent="0.25">
      <c r="A67" s="15" t="s">
        <v>21</v>
      </c>
    </row>
    <row r="68" spans="1:1" x14ac:dyDescent="0.25">
      <c r="A68" s="12" t="s">
        <v>175</v>
      </c>
    </row>
    <row r="69" spans="1:1" x14ac:dyDescent="0.25">
      <c r="A69" s="15" t="s">
        <v>83</v>
      </c>
    </row>
    <row r="70" spans="1:1" x14ac:dyDescent="0.25">
      <c r="A70" s="12" t="s">
        <v>179</v>
      </c>
    </row>
    <row r="71" spans="1:1" x14ac:dyDescent="0.25">
      <c r="A71" s="15" t="s">
        <v>68</v>
      </c>
    </row>
    <row r="72" spans="1:1" x14ac:dyDescent="0.25">
      <c r="A72" s="12" t="s">
        <v>183</v>
      </c>
    </row>
    <row r="73" spans="1:1" x14ac:dyDescent="0.25">
      <c r="A73" s="15" t="s">
        <v>35</v>
      </c>
    </row>
    <row r="74" spans="1:1" x14ac:dyDescent="0.25">
      <c r="A74" s="12" t="s">
        <v>187</v>
      </c>
    </row>
    <row r="75" spans="1:1" x14ac:dyDescent="0.25">
      <c r="A75" s="15" t="s">
        <v>123</v>
      </c>
    </row>
    <row r="76" spans="1:1" x14ac:dyDescent="0.25">
      <c r="A76" s="12" t="s">
        <v>191</v>
      </c>
    </row>
    <row r="77" spans="1:1" x14ac:dyDescent="0.25">
      <c r="A77" s="15" t="s">
        <v>98</v>
      </c>
    </row>
    <row r="78" spans="1:1" x14ac:dyDescent="0.25">
      <c r="A78" s="12" t="s">
        <v>195</v>
      </c>
    </row>
    <row r="79" spans="1:1" x14ac:dyDescent="0.25">
      <c r="A79" s="15" t="s">
        <v>63</v>
      </c>
    </row>
    <row r="80" spans="1:1" x14ac:dyDescent="0.25">
      <c r="A80" s="12" t="s">
        <v>199</v>
      </c>
    </row>
    <row r="81" spans="1:1" x14ac:dyDescent="0.25">
      <c r="A81" s="15" t="s">
        <v>201</v>
      </c>
    </row>
    <row r="82" spans="1:1" x14ac:dyDescent="0.25">
      <c r="A82" s="12" t="s">
        <v>204</v>
      </c>
    </row>
    <row r="83" spans="1:1" x14ac:dyDescent="0.25">
      <c r="A83" s="15" t="s">
        <v>206</v>
      </c>
    </row>
    <row r="84" spans="1:1" x14ac:dyDescent="0.25">
      <c r="A84" s="12" t="s">
        <v>209</v>
      </c>
    </row>
    <row r="85" spans="1:1" x14ac:dyDescent="0.25">
      <c r="A85" s="15" t="s">
        <v>211</v>
      </c>
    </row>
    <row r="86" spans="1:1" x14ac:dyDescent="0.25">
      <c r="A86" s="12" t="s">
        <v>214</v>
      </c>
    </row>
    <row r="87" spans="1:1" x14ac:dyDescent="0.25">
      <c r="A87" s="15" t="s">
        <v>216</v>
      </c>
    </row>
    <row r="88" spans="1:1" x14ac:dyDescent="0.25">
      <c r="A88" s="12" t="s">
        <v>219</v>
      </c>
    </row>
    <row r="89" spans="1:1" x14ac:dyDescent="0.25">
      <c r="A89" s="15" t="s">
        <v>221</v>
      </c>
    </row>
    <row r="90" spans="1:1" x14ac:dyDescent="0.25">
      <c r="A90" s="12" t="s">
        <v>224</v>
      </c>
    </row>
    <row r="91" spans="1:1" x14ac:dyDescent="0.25">
      <c r="A91" s="15" t="s">
        <v>226</v>
      </c>
    </row>
    <row r="92" spans="1:1" x14ac:dyDescent="0.25">
      <c r="A92" s="12" t="s">
        <v>229</v>
      </c>
    </row>
    <row r="93" spans="1:1" x14ac:dyDescent="0.25">
      <c r="A93" s="15" t="s">
        <v>231</v>
      </c>
    </row>
    <row r="94" spans="1:1" x14ac:dyDescent="0.25">
      <c r="A94" s="12" t="s">
        <v>234</v>
      </c>
    </row>
    <row r="95" spans="1:1" x14ac:dyDescent="0.25">
      <c r="A95" s="15" t="s">
        <v>138</v>
      </c>
    </row>
    <row r="96" spans="1:1" x14ac:dyDescent="0.25">
      <c r="A96" s="12" t="s">
        <v>238</v>
      </c>
    </row>
    <row r="97" spans="1:1" x14ac:dyDescent="0.25">
      <c r="A97" s="15" t="s">
        <v>14</v>
      </c>
    </row>
    <row r="98" spans="1:1" x14ac:dyDescent="0.25">
      <c r="A98" s="12" t="s">
        <v>242</v>
      </c>
    </row>
    <row r="99" spans="1:1" x14ac:dyDescent="0.25">
      <c r="A99" s="15" t="s">
        <v>28</v>
      </c>
    </row>
    <row r="100" spans="1:1" x14ac:dyDescent="0.25">
      <c r="A100" s="12" t="s">
        <v>246</v>
      </c>
    </row>
    <row r="101" spans="1:1" x14ac:dyDescent="0.25">
      <c r="A101" s="15" t="s">
        <v>248</v>
      </c>
    </row>
    <row r="102" spans="1:1" x14ac:dyDescent="0.25">
      <c r="A102" s="12" t="s">
        <v>251</v>
      </c>
    </row>
    <row r="103" spans="1:1" x14ac:dyDescent="0.25">
      <c r="A103" s="15" t="s">
        <v>253</v>
      </c>
    </row>
    <row r="104" spans="1:1" x14ac:dyDescent="0.25">
      <c r="A104" s="12" t="s">
        <v>257</v>
      </c>
    </row>
    <row r="105" spans="1:1" x14ac:dyDescent="0.25">
      <c r="A105" s="15" t="s">
        <v>257</v>
      </c>
    </row>
    <row r="106" spans="1:1" x14ac:dyDescent="0.25">
      <c r="A106" s="13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A78B-4007-4C73-B041-A491021680C3}">
  <dimension ref="A3:C8"/>
  <sheetViews>
    <sheetView workbookViewId="0">
      <selection activeCell="O26" sqref="O26"/>
    </sheetView>
  </sheetViews>
  <sheetFormatPr defaultRowHeight="13.2" x14ac:dyDescent="0.25"/>
  <cols>
    <col min="1" max="1" width="12.44140625" bestFit="1" customWidth="1"/>
    <col min="2" max="2" width="19.33203125" bestFit="1" customWidth="1"/>
    <col min="3" max="3" width="11.6640625" bestFit="1" customWidth="1"/>
  </cols>
  <sheetData>
    <row r="3" spans="1:3" x14ac:dyDescent="0.25">
      <c r="A3" s="17" t="s">
        <v>256</v>
      </c>
      <c r="B3" s="16" t="s">
        <v>274</v>
      </c>
      <c r="C3" s="20" t="s">
        <v>275</v>
      </c>
    </row>
    <row r="4" spans="1:3" x14ac:dyDescent="0.25">
      <c r="A4" s="18" t="s">
        <v>270</v>
      </c>
      <c r="B4" s="21"/>
      <c r="C4" s="22">
        <v>0</v>
      </c>
    </row>
    <row r="5" spans="1:3" x14ac:dyDescent="0.25">
      <c r="A5" s="18" t="s">
        <v>271</v>
      </c>
      <c r="B5" s="21">
        <v>92000</v>
      </c>
      <c r="C5" s="22">
        <v>16560</v>
      </c>
    </row>
    <row r="6" spans="1:3" x14ac:dyDescent="0.25">
      <c r="A6" s="18" t="s">
        <v>272</v>
      </c>
      <c r="B6" s="21">
        <v>110400</v>
      </c>
      <c r="C6" s="22">
        <v>19872</v>
      </c>
    </row>
    <row r="7" spans="1:3" x14ac:dyDescent="0.25">
      <c r="A7" s="18" t="s">
        <v>273</v>
      </c>
      <c r="B7" s="21">
        <v>75800</v>
      </c>
      <c r="C7" s="22">
        <v>13644</v>
      </c>
    </row>
    <row r="8" spans="1:3" x14ac:dyDescent="0.25">
      <c r="A8" s="19" t="s">
        <v>258</v>
      </c>
      <c r="B8" s="23">
        <v>278200</v>
      </c>
      <c r="C8" s="24">
        <v>50076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C2D3-5372-48EE-9AA4-8166789F18DE}">
  <dimension ref="A3:C6"/>
  <sheetViews>
    <sheetView workbookViewId="0">
      <selection activeCell="E9" sqref="E9"/>
    </sheetView>
  </sheetViews>
  <sheetFormatPr defaultRowHeight="13.2" x14ac:dyDescent="0.25"/>
  <cols>
    <col min="1" max="1" width="12.44140625" bestFit="1" customWidth="1"/>
    <col min="2" max="2" width="19.33203125" bestFit="1" customWidth="1"/>
    <col min="3" max="3" width="16.109375" bestFit="1" customWidth="1"/>
  </cols>
  <sheetData>
    <row r="3" spans="1:3" x14ac:dyDescent="0.25">
      <c r="A3" s="17" t="s">
        <v>256</v>
      </c>
      <c r="B3" s="16" t="s">
        <v>274</v>
      </c>
      <c r="C3" s="20" t="s">
        <v>277</v>
      </c>
    </row>
    <row r="4" spans="1:3" x14ac:dyDescent="0.25">
      <c r="A4" s="18" t="s">
        <v>276</v>
      </c>
      <c r="B4" s="21">
        <v>278200</v>
      </c>
      <c r="C4" s="22">
        <v>50</v>
      </c>
    </row>
    <row r="5" spans="1:3" x14ac:dyDescent="0.25">
      <c r="A5" s="25" t="s">
        <v>257</v>
      </c>
      <c r="B5" s="26"/>
      <c r="C5" s="27"/>
    </row>
    <row r="6" spans="1:3" x14ac:dyDescent="0.25">
      <c r="A6" s="19" t="s">
        <v>258</v>
      </c>
      <c r="B6" s="23">
        <v>278200</v>
      </c>
      <c r="C6" s="24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4957-9C9B-41F7-8FC6-78F6871E56FD}">
  <dimension ref="A3:C10"/>
  <sheetViews>
    <sheetView workbookViewId="0">
      <selection activeCell="O11" sqref="O11"/>
    </sheetView>
  </sheetViews>
  <sheetFormatPr defaultRowHeight="13.2" x14ac:dyDescent="0.25"/>
  <cols>
    <col min="1" max="1" width="12.44140625" bestFit="1" customWidth="1"/>
    <col min="2" max="2" width="19.33203125" bestFit="1" customWidth="1"/>
    <col min="3" max="3" width="11.6640625" bestFit="1" customWidth="1"/>
  </cols>
  <sheetData>
    <row r="3" spans="1:3" x14ac:dyDescent="0.25">
      <c r="A3" s="17" t="s">
        <v>256</v>
      </c>
      <c r="B3" s="16" t="s">
        <v>274</v>
      </c>
      <c r="C3" s="20" t="s">
        <v>275</v>
      </c>
    </row>
    <row r="4" spans="1:3" x14ac:dyDescent="0.25">
      <c r="A4" s="18" t="s">
        <v>37</v>
      </c>
      <c r="B4" s="21">
        <v>33300</v>
      </c>
      <c r="C4" s="22">
        <v>5994</v>
      </c>
    </row>
    <row r="5" spans="1:3" x14ac:dyDescent="0.25">
      <c r="A5" s="25" t="s">
        <v>16</v>
      </c>
      <c r="B5" s="26">
        <v>101900</v>
      </c>
      <c r="C5" s="27">
        <v>18342</v>
      </c>
    </row>
    <row r="6" spans="1:3" x14ac:dyDescent="0.25">
      <c r="A6" s="25" t="s">
        <v>23</v>
      </c>
      <c r="B6" s="26">
        <v>42400</v>
      </c>
      <c r="C6" s="27">
        <v>7632</v>
      </c>
    </row>
    <row r="7" spans="1:3" x14ac:dyDescent="0.25">
      <c r="A7" s="25" t="s">
        <v>48</v>
      </c>
      <c r="B7" s="26">
        <v>24800</v>
      </c>
      <c r="C7" s="27">
        <v>4464</v>
      </c>
    </row>
    <row r="8" spans="1:3" x14ac:dyDescent="0.25">
      <c r="A8" s="25" t="s">
        <v>30</v>
      </c>
      <c r="B8" s="26">
        <v>75800</v>
      </c>
      <c r="C8" s="27">
        <v>13644</v>
      </c>
    </row>
    <row r="9" spans="1:3" x14ac:dyDescent="0.25">
      <c r="A9" s="25" t="s">
        <v>257</v>
      </c>
      <c r="B9" s="26"/>
      <c r="C9" s="27">
        <v>0</v>
      </c>
    </row>
    <row r="10" spans="1:3" x14ac:dyDescent="0.25">
      <c r="A10" s="19" t="s">
        <v>258</v>
      </c>
      <c r="B10" s="23">
        <v>278200</v>
      </c>
      <c r="C10" s="24">
        <v>50076</v>
      </c>
    </row>
  </sheetData>
  <sortState xmlns:xlrd2="http://schemas.microsoft.com/office/spreadsheetml/2017/richdata2" columnSort="1" ref="A3:C10">
    <sortCondition descending="1" ref="B3"/>
  </sortState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55"/>
  <sheetViews>
    <sheetView tabSelected="1" topLeftCell="A15" zoomScale="55" workbookViewId="0">
      <selection activeCell="P60" sqref="P60"/>
    </sheetView>
  </sheetViews>
  <sheetFormatPr defaultColWidth="12.6640625" defaultRowHeight="15.75" customHeight="1" x14ac:dyDescent="0.25"/>
  <cols>
    <col min="1" max="1" width="16" customWidth="1"/>
    <col min="2" max="3" width="19.109375" customWidth="1"/>
    <col min="5" max="5" width="19" style="7" customWidth="1"/>
    <col min="7" max="7" width="17.88671875" style="7" customWidth="1"/>
    <col min="8" max="8" width="23.33203125" customWidth="1"/>
    <col min="9" max="9" width="17.6640625" customWidth="1"/>
    <col min="10" max="10" width="15.44140625" customWidth="1"/>
    <col min="11" max="11" width="17" customWidth="1"/>
    <col min="12" max="12" width="20.6640625" customWidth="1"/>
    <col min="13" max="13" width="21.33203125" customWidth="1"/>
    <col min="19" max="19" width="20.5546875" customWidth="1"/>
    <col min="23" max="23" width="25.77734375" customWidth="1"/>
  </cols>
  <sheetData>
    <row r="1" spans="1:23" ht="22.5" customHeight="1" x14ac:dyDescent="0.25">
      <c r="A1" s="2" t="s">
        <v>0</v>
      </c>
      <c r="B1" s="2" t="s">
        <v>1</v>
      </c>
      <c r="C1" s="9" t="s">
        <v>259</v>
      </c>
      <c r="D1" s="9" t="s">
        <v>2</v>
      </c>
      <c r="E1" s="4" t="s">
        <v>3</v>
      </c>
      <c r="F1" s="2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4" t="s">
        <v>260</v>
      </c>
      <c r="O1" s="14" t="s">
        <v>261</v>
      </c>
      <c r="P1" s="14" t="s">
        <v>262</v>
      </c>
      <c r="Q1" s="14" t="s">
        <v>263</v>
      </c>
      <c r="R1" s="14" t="s">
        <v>264</v>
      </c>
      <c r="S1" s="14" t="s">
        <v>265</v>
      </c>
      <c r="T1" s="14" t="s">
        <v>266</v>
      </c>
      <c r="U1" t="s">
        <v>268</v>
      </c>
      <c r="V1" t="s">
        <v>267</v>
      </c>
      <c r="W1" t="s">
        <v>269</v>
      </c>
    </row>
    <row r="2" spans="1:23" ht="22.5" customHeight="1" x14ac:dyDescent="0.25">
      <c r="A2" s="8" t="s">
        <v>12</v>
      </c>
      <c r="B2" s="3" t="s">
        <v>13</v>
      </c>
      <c r="C2" s="3" t="str">
        <f t="shared" ref="C2:C33" si="0">PROPER(TRIM(D2))</f>
        <v>Delhi</v>
      </c>
      <c r="D2" s="3" t="s">
        <v>14</v>
      </c>
      <c r="E2" s="5">
        <v>45662</v>
      </c>
      <c r="F2" s="3" t="s">
        <v>15</v>
      </c>
      <c r="G2" s="5">
        <v>46082</v>
      </c>
      <c r="H2" s="3" t="s">
        <v>16</v>
      </c>
      <c r="I2" s="3" t="s">
        <v>17</v>
      </c>
      <c r="J2" s="3">
        <v>2</v>
      </c>
      <c r="K2" s="3">
        <v>2500</v>
      </c>
      <c r="L2" s="3">
        <v>5000</v>
      </c>
      <c r="M2" s="3" t="s">
        <v>18</v>
      </c>
      <c r="N2">
        <f>K2*0.8</f>
        <v>2000</v>
      </c>
      <c r="O2">
        <f>(K2-N2)*J2*(1-0.1)</f>
        <v>900</v>
      </c>
      <c r="P2" t="str">
        <f>TEXT(G2,"MMM")</f>
        <v>Mar</v>
      </c>
      <c r="Q2" t="str">
        <f>"Q"&amp;INT((MONTH(G2)-1)/3)+1</f>
        <v>Q1</v>
      </c>
      <c r="R2" t="str">
        <f>IF(COUNTIF(A:A,A2)=1,"New","Repeat")</f>
        <v>New</v>
      </c>
      <c r="S2">
        <f>IF(L2&gt;5000,1,0)</f>
        <v>0</v>
      </c>
      <c r="T2">
        <f>G2-E2</f>
        <v>420</v>
      </c>
      <c r="U2">
        <f>IF(N2&gt;5000,0.2,0.1)</f>
        <v>0.1</v>
      </c>
      <c r="V2">
        <f>_xlfn.XLOOKUP(I2,Product_Table!A:A,Product_Table!B:B)</f>
        <v>40000</v>
      </c>
      <c r="W2">
        <f>(K2-V2)*J2*(1-U2)</f>
        <v>-67500</v>
      </c>
    </row>
    <row r="3" spans="1:23" ht="22.5" customHeight="1" x14ac:dyDescent="0.25">
      <c r="A3" s="3" t="s">
        <v>19</v>
      </c>
      <c r="B3" s="3" t="s">
        <v>20</v>
      </c>
      <c r="C3" s="3" t="str">
        <f t="shared" si="0"/>
        <v>Mumbai</v>
      </c>
      <c r="D3" s="3" t="s">
        <v>21</v>
      </c>
      <c r="E3" s="5">
        <v>45698</v>
      </c>
      <c r="F3" s="3" t="s">
        <v>22</v>
      </c>
      <c r="G3" s="5">
        <v>46082</v>
      </c>
      <c r="H3" s="3" t="s">
        <v>23</v>
      </c>
      <c r="I3" s="3" t="s">
        <v>24</v>
      </c>
      <c r="J3" s="3">
        <v>1</v>
      </c>
      <c r="K3" s="3">
        <v>3200</v>
      </c>
      <c r="L3" s="3">
        <v>3200</v>
      </c>
      <c r="M3" s="3" t="s">
        <v>25</v>
      </c>
      <c r="N3">
        <f t="shared" ref="N3:N51" si="1">K3*0.8</f>
        <v>2560</v>
      </c>
      <c r="O3">
        <f t="shared" ref="O3:O51" si="2">(K3-N3)*J3*(1-0.1)</f>
        <v>576</v>
      </c>
      <c r="P3" t="str">
        <f t="shared" ref="P3:P51" si="3">TEXT(G3,"MMM")</f>
        <v>Mar</v>
      </c>
      <c r="Q3" t="str">
        <f t="shared" ref="Q3:Q51" si="4">"Q"&amp;INT((MONTH(G3)-1)/3)+1</f>
        <v>Q1</v>
      </c>
      <c r="R3" t="str">
        <f>IF(COUNTIF(A:A,A3)=1,"New","Repeat")</f>
        <v>New</v>
      </c>
      <c r="S3">
        <f t="shared" ref="S3:S51" si="5">IF(L3&gt;5000,1,0)</f>
        <v>0</v>
      </c>
      <c r="T3">
        <f t="shared" ref="T3:T51" si="6">G3-E3</f>
        <v>384</v>
      </c>
      <c r="U3">
        <f t="shared" ref="U3:U51" si="7">IF(N3&gt;5000,0.2,0.1)</f>
        <v>0.1</v>
      </c>
      <c r="V3">
        <f>_xlfn.XLOOKUP(I3,Product_Table!A:A,Product_Table!B:B)</f>
        <v>5000</v>
      </c>
      <c r="W3">
        <f t="shared" ref="W3:W53" si="8">(K3-V3)*J3*(1-U3)</f>
        <v>-1620</v>
      </c>
    </row>
    <row r="4" spans="1:23" ht="22.5" customHeight="1" x14ac:dyDescent="0.25">
      <c r="A4" s="3" t="s">
        <v>26</v>
      </c>
      <c r="B4" s="8" t="s">
        <v>27</v>
      </c>
      <c r="C4" s="8" t="str">
        <f t="shared" si="0"/>
        <v>Gurgaon</v>
      </c>
      <c r="D4" s="3" t="s">
        <v>28</v>
      </c>
      <c r="E4" s="5">
        <v>45672</v>
      </c>
      <c r="F4" s="3" t="s">
        <v>29</v>
      </c>
      <c r="G4" s="5">
        <v>46083</v>
      </c>
      <c r="H4" s="3" t="s">
        <v>30</v>
      </c>
      <c r="I4" s="3" t="s">
        <v>31</v>
      </c>
      <c r="J4" s="3">
        <v>1</v>
      </c>
      <c r="K4" s="3">
        <v>4500</v>
      </c>
      <c r="L4" s="3">
        <v>4500</v>
      </c>
      <c r="M4" s="3" t="s">
        <v>32</v>
      </c>
      <c r="N4">
        <f t="shared" si="1"/>
        <v>3600</v>
      </c>
      <c r="O4">
        <f t="shared" si="2"/>
        <v>810</v>
      </c>
      <c r="P4" t="str">
        <f t="shared" si="3"/>
        <v>Mar</v>
      </c>
      <c r="Q4" t="str">
        <f t="shared" si="4"/>
        <v>Q1</v>
      </c>
      <c r="R4" t="str">
        <f>IF(COUNTIF(A:A,A4)=1,"New","Repeat")</f>
        <v>New</v>
      </c>
      <c r="S4">
        <f t="shared" si="5"/>
        <v>0</v>
      </c>
      <c r="T4">
        <f t="shared" si="6"/>
        <v>411</v>
      </c>
      <c r="U4">
        <f t="shared" si="7"/>
        <v>0.1</v>
      </c>
      <c r="V4">
        <f>_xlfn.XLOOKUP(I4,Product_Table!A:A,Product_Table!B:B)</f>
        <v>2000</v>
      </c>
      <c r="W4">
        <f t="shared" si="8"/>
        <v>2250</v>
      </c>
    </row>
    <row r="5" spans="1:23" ht="22.5" customHeight="1" x14ac:dyDescent="0.25">
      <c r="A5" s="3" t="s">
        <v>33</v>
      </c>
      <c r="B5" s="3" t="s">
        <v>34</v>
      </c>
      <c r="C5" s="3" t="str">
        <f t="shared" si="0"/>
        <v>Pune</v>
      </c>
      <c r="D5" s="3" t="s">
        <v>35</v>
      </c>
      <c r="E5" s="5">
        <v>45717</v>
      </c>
      <c r="F5" s="8" t="s">
        <v>36</v>
      </c>
      <c r="G5" s="5">
        <v>46083</v>
      </c>
      <c r="H5" s="3" t="s">
        <v>37</v>
      </c>
      <c r="I5" s="3" t="s">
        <v>38</v>
      </c>
      <c r="J5" s="3">
        <v>3</v>
      </c>
      <c r="K5" s="3">
        <v>1200</v>
      </c>
      <c r="L5" s="3">
        <v>3600</v>
      </c>
      <c r="M5" s="3" t="s">
        <v>18</v>
      </c>
      <c r="N5">
        <f t="shared" si="1"/>
        <v>960</v>
      </c>
      <c r="O5">
        <f t="shared" si="2"/>
        <v>648</v>
      </c>
      <c r="P5" t="str">
        <f t="shared" si="3"/>
        <v>Mar</v>
      </c>
      <c r="Q5" t="str">
        <f t="shared" si="4"/>
        <v>Q1</v>
      </c>
      <c r="R5" t="str">
        <f>IF(COUNTIF(A:A,A5)=1,"New","Repeat")</f>
        <v>New</v>
      </c>
      <c r="S5">
        <f t="shared" si="5"/>
        <v>0</v>
      </c>
      <c r="T5">
        <f t="shared" si="6"/>
        <v>366</v>
      </c>
      <c r="U5">
        <f t="shared" si="7"/>
        <v>0.1</v>
      </c>
      <c r="V5">
        <f>_xlfn.XLOOKUP(I5,Product_Table!A:A,Product_Table!B:B)</f>
        <v>5000</v>
      </c>
      <c r="W5">
        <f t="shared" si="8"/>
        <v>-10260</v>
      </c>
    </row>
    <row r="6" spans="1:23" ht="22.5" customHeight="1" x14ac:dyDescent="0.25">
      <c r="A6" s="3" t="s">
        <v>39</v>
      </c>
      <c r="B6" s="3" t="s">
        <v>40</v>
      </c>
      <c r="C6" s="3" t="str">
        <f t="shared" si="0"/>
        <v>Bengaluru</v>
      </c>
      <c r="D6" s="3" t="s">
        <v>41</v>
      </c>
      <c r="E6" s="5">
        <v>45708</v>
      </c>
      <c r="F6" s="3" t="s">
        <v>42</v>
      </c>
      <c r="G6" s="5">
        <v>46084</v>
      </c>
      <c r="H6" s="3" t="s">
        <v>16</v>
      </c>
      <c r="I6" s="3" t="s">
        <v>43</v>
      </c>
      <c r="J6" s="3">
        <v>1</v>
      </c>
      <c r="K6" s="3">
        <v>7000</v>
      </c>
      <c r="L6" s="3">
        <v>7000</v>
      </c>
      <c r="M6" s="3" t="s">
        <v>25</v>
      </c>
      <c r="N6">
        <f t="shared" si="1"/>
        <v>5600</v>
      </c>
      <c r="O6">
        <f t="shared" si="2"/>
        <v>1260</v>
      </c>
      <c r="P6" t="str">
        <f t="shared" si="3"/>
        <v>Mar</v>
      </c>
      <c r="Q6" t="str">
        <f t="shared" si="4"/>
        <v>Q1</v>
      </c>
      <c r="R6" t="str">
        <f>IF(COUNTIF(A:A,A6)=1,"New","Repeat")</f>
        <v>New</v>
      </c>
      <c r="S6">
        <f t="shared" si="5"/>
        <v>1</v>
      </c>
      <c r="T6">
        <f t="shared" si="6"/>
        <v>376</v>
      </c>
      <c r="U6">
        <f t="shared" si="7"/>
        <v>0.2</v>
      </c>
      <c r="V6">
        <f>_xlfn.XLOOKUP(I6,Product_Table!A:A,Product_Table!B:B)</f>
        <v>6000</v>
      </c>
      <c r="W6">
        <f t="shared" si="8"/>
        <v>800</v>
      </c>
    </row>
    <row r="7" spans="1:23" ht="22.5" customHeight="1" x14ac:dyDescent="0.25">
      <c r="A7" s="3" t="s">
        <v>44</v>
      </c>
      <c r="B7" s="3" t="s">
        <v>45</v>
      </c>
      <c r="C7" s="3" t="str">
        <f t="shared" si="0"/>
        <v>Jaipur</v>
      </c>
      <c r="D7" s="3" t="s">
        <v>46</v>
      </c>
      <c r="E7" s="5">
        <v>45679</v>
      </c>
      <c r="F7" s="3" t="s">
        <v>47</v>
      </c>
      <c r="G7" s="5">
        <v>46084</v>
      </c>
      <c r="H7" s="3" t="s">
        <v>48</v>
      </c>
      <c r="I7" s="3" t="s">
        <v>49</v>
      </c>
      <c r="J7" s="3">
        <v>4</v>
      </c>
      <c r="K7" s="3">
        <v>800</v>
      </c>
      <c r="L7" s="3">
        <v>3200</v>
      </c>
      <c r="M7" s="3" t="s">
        <v>18</v>
      </c>
      <c r="N7">
        <f t="shared" si="1"/>
        <v>640</v>
      </c>
      <c r="O7">
        <f t="shared" si="2"/>
        <v>576</v>
      </c>
      <c r="P7" t="str">
        <f t="shared" si="3"/>
        <v>Mar</v>
      </c>
      <c r="Q7" t="str">
        <f t="shared" si="4"/>
        <v>Q1</v>
      </c>
      <c r="R7" t="str">
        <f>IF(COUNTIF(A:A,A7)=1,"New","Repeat")</f>
        <v>New</v>
      </c>
      <c r="S7">
        <f t="shared" si="5"/>
        <v>0</v>
      </c>
      <c r="T7">
        <f t="shared" si="6"/>
        <v>405</v>
      </c>
      <c r="U7">
        <f t="shared" si="7"/>
        <v>0.1</v>
      </c>
      <c r="V7">
        <f>_xlfn.XLOOKUP(I7,Product_Table!A:A,Product_Table!B:B)</f>
        <v>4000</v>
      </c>
      <c r="W7">
        <f t="shared" si="8"/>
        <v>-11520</v>
      </c>
    </row>
    <row r="8" spans="1:23" ht="22.5" customHeight="1" x14ac:dyDescent="0.25">
      <c r="A8" s="3" t="s">
        <v>50</v>
      </c>
      <c r="B8" s="3" t="s">
        <v>51</v>
      </c>
      <c r="C8" s="3" t="str">
        <f t="shared" si="0"/>
        <v>Lucknow</v>
      </c>
      <c r="D8" s="3" t="s">
        <v>52</v>
      </c>
      <c r="E8" s="5">
        <v>45721</v>
      </c>
      <c r="F8" s="3" t="s">
        <v>53</v>
      </c>
      <c r="G8" s="5">
        <v>46085</v>
      </c>
      <c r="H8" s="3" t="s">
        <v>23</v>
      </c>
      <c r="I8" s="3" t="s">
        <v>54</v>
      </c>
      <c r="J8" s="3">
        <v>1</v>
      </c>
      <c r="K8" s="3">
        <v>5000</v>
      </c>
      <c r="L8" s="3">
        <v>5000</v>
      </c>
      <c r="M8" s="3" t="s">
        <v>55</v>
      </c>
      <c r="N8">
        <f t="shared" si="1"/>
        <v>4000</v>
      </c>
      <c r="O8">
        <f t="shared" si="2"/>
        <v>900</v>
      </c>
      <c r="P8" t="str">
        <f t="shared" si="3"/>
        <v>Mar</v>
      </c>
      <c r="Q8" t="str">
        <f t="shared" si="4"/>
        <v>Q1</v>
      </c>
      <c r="R8" t="str">
        <f>IF(COUNTIF(A:A,A8)=1,"New","Repeat")</f>
        <v>New</v>
      </c>
      <c r="S8">
        <f t="shared" si="5"/>
        <v>0</v>
      </c>
      <c r="T8">
        <f t="shared" si="6"/>
        <v>364</v>
      </c>
      <c r="U8">
        <f t="shared" si="7"/>
        <v>0.1</v>
      </c>
      <c r="V8">
        <f>_xlfn.XLOOKUP(I8,Product_Table!A:A,Product_Table!B:B)</f>
        <v>6000</v>
      </c>
      <c r="W8">
        <f t="shared" si="8"/>
        <v>-900</v>
      </c>
    </row>
    <row r="9" spans="1:23" ht="22.5" customHeight="1" x14ac:dyDescent="0.25">
      <c r="A9" s="3" t="s">
        <v>56</v>
      </c>
      <c r="B9" s="3" t="s">
        <v>57</v>
      </c>
      <c r="C9" s="3" t="str">
        <f t="shared" si="0"/>
        <v>Kochi</v>
      </c>
      <c r="D9" s="3" t="s">
        <v>58</v>
      </c>
      <c r="E9" s="5">
        <v>45716</v>
      </c>
      <c r="F9" s="3" t="s">
        <v>59</v>
      </c>
      <c r="G9" s="5">
        <v>46085</v>
      </c>
      <c r="H9" s="3" t="s">
        <v>16</v>
      </c>
      <c r="I9" s="3" t="s">
        <v>60</v>
      </c>
      <c r="J9" s="3">
        <v>1</v>
      </c>
      <c r="K9" s="3">
        <v>18000</v>
      </c>
      <c r="L9" s="3">
        <v>18000</v>
      </c>
      <c r="M9" s="3" t="s">
        <v>25</v>
      </c>
      <c r="N9">
        <f t="shared" si="1"/>
        <v>14400</v>
      </c>
      <c r="O9">
        <f t="shared" si="2"/>
        <v>3240</v>
      </c>
      <c r="P9" t="str">
        <f t="shared" si="3"/>
        <v>Mar</v>
      </c>
      <c r="Q9" t="str">
        <f t="shared" si="4"/>
        <v>Q1</v>
      </c>
      <c r="R9" t="str">
        <f>IF(COUNTIF(A:A,A9)=1,"New","Repeat")</f>
        <v>New</v>
      </c>
      <c r="S9">
        <f t="shared" si="5"/>
        <v>1</v>
      </c>
      <c r="T9">
        <f t="shared" si="6"/>
        <v>369</v>
      </c>
      <c r="U9">
        <f t="shared" si="7"/>
        <v>0.2</v>
      </c>
      <c r="V9">
        <f>_xlfn.XLOOKUP(I9,Product_Table!A:A,Product_Table!B:B)</f>
        <v>1000</v>
      </c>
      <c r="W9">
        <f t="shared" si="8"/>
        <v>13600</v>
      </c>
    </row>
    <row r="10" spans="1:23" ht="22.5" customHeight="1" x14ac:dyDescent="0.25">
      <c r="A10" s="3" t="s">
        <v>61</v>
      </c>
      <c r="B10" s="3" t="s">
        <v>62</v>
      </c>
      <c r="C10" s="3" t="str">
        <f t="shared" si="0"/>
        <v>Chandigarh</v>
      </c>
      <c r="D10" s="3" t="s">
        <v>63</v>
      </c>
      <c r="E10" s="5">
        <v>45687</v>
      </c>
      <c r="F10" s="3" t="s">
        <v>64</v>
      </c>
      <c r="G10" s="5">
        <v>46086</v>
      </c>
      <c r="H10" s="3" t="s">
        <v>30</v>
      </c>
      <c r="I10" s="3" t="s">
        <v>65</v>
      </c>
      <c r="J10" s="3">
        <v>1</v>
      </c>
      <c r="K10" s="3">
        <v>8500</v>
      </c>
      <c r="L10" s="3">
        <v>8500</v>
      </c>
      <c r="M10" s="3" t="s">
        <v>18</v>
      </c>
      <c r="N10">
        <f t="shared" si="1"/>
        <v>6800</v>
      </c>
      <c r="O10">
        <f t="shared" si="2"/>
        <v>1530</v>
      </c>
      <c r="P10" t="str">
        <f t="shared" si="3"/>
        <v>Mar</v>
      </c>
      <c r="Q10" t="str">
        <f t="shared" si="4"/>
        <v>Q1</v>
      </c>
      <c r="R10" t="str">
        <f>IF(COUNTIF(A:A,A10)=1,"New","Repeat")</f>
        <v>New</v>
      </c>
      <c r="S10">
        <f t="shared" si="5"/>
        <v>1</v>
      </c>
      <c r="T10">
        <f t="shared" si="6"/>
        <v>399</v>
      </c>
      <c r="U10">
        <f t="shared" si="7"/>
        <v>0.2</v>
      </c>
      <c r="V10">
        <f>_xlfn.XLOOKUP(I10,Product_Table!A:A,Product_Table!B:B)</f>
        <v>500</v>
      </c>
      <c r="W10">
        <f t="shared" si="8"/>
        <v>6400</v>
      </c>
    </row>
    <row r="11" spans="1:23" ht="22.5" customHeight="1" x14ac:dyDescent="0.25">
      <c r="A11" s="3" t="s">
        <v>66</v>
      </c>
      <c r="B11" s="3" t="s">
        <v>67</v>
      </c>
      <c r="C11" s="3" t="str">
        <f t="shared" si="0"/>
        <v>Kolkata</v>
      </c>
      <c r="D11" s="3" t="s">
        <v>68</v>
      </c>
      <c r="E11" s="5">
        <v>45726</v>
      </c>
      <c r="F11" s="3" t="s">
        <v>69</v>
      </c>
      <c r="G11" s="5">
        <v>46086</v>
      </c>
      <c r="H11" s="3" t="s">
        <v>37</v>
      </c>
      <c r="I11" s="3" t="s">
        <v>70</v>
      </c>
      <c r="J11" s="3">
        <v>2</v>
      </c>
      <c r="K11" s="3">
        <v>2200</v>
      </c>
      <c r="L11" s="3">
        <v>4400</v>
      </c>
      <c r="M11" s="3" t="s">
        <v>25</v>
      </c>
      <c r="N11">
        <f t="shared" si="1"/>
        <v>1760</v>
      </c>
      <c r="O11">
        <f t="shared" si="2"/>
        <v>792</v>
      </c>
      <c r="P11" t="str">
        <f t="shared" si="3"/>
        <v>Mar</v>
      </c>
      <c r="Q11" t="str">
        <f t="shared" si="4"/>
        <v>Q1</v>
      </c>
      <c r="R11" t="str">
        <f>IF(COUNTIF(A:A,A11)=1,"New","Repeat")</f>
        <v>New</v>
      </c>
      <c r="S11">
        <f t="shared" si="5"/>
        <v>0</v>
      </c>
      <c r="T11">
        <f t="shared" si="6"/>
        <v>360</v>
      </c>
      <c r="U11">
        <f t="shared" si="7"/>
        <v>0.1</v>
      </c>
      <c r="V11">
        <f>_xlfn.XLOOKUP(I11,Product_Table!A:A,Product_Table!B:B)</f>
        <v>3000</v>
      </c>
      <c r="W11">
        <f t="shared" si="8"/>
        <v>-1440</v>
      </c>
    </row>
    <row r="12" spans="1:23" ht="22.5" customHeight="1" x14ac:dyDescent="0.25">
      <c r="A12" s="3" t="s">
        <v>71</v>
      </c>
      <c r="B12" s="3" t="s">
        <v>72</v>
      </c>
      <c r="C12" s="3" t="str">
        <f t="shared" si="0"/>
        <v>Indore</v>
      </c>
      <c r="D12" s="3" t="s">
        <v>73</v>
      </c>
      <c r="E12" s="5">
        <v>45675</v>
      </c>
      <c r="F12" s="3" t="s">
        <v>74</v>
      </c>
      <c r="G12" s="5">
        <v>46087</v>
      </c>
      <c r="H12" s="3" t="s">
        <v>16</v>
      </c>
      <c r="I12" s="3" t="s">
        <v>75</v>
      </c>
      <c r="J12" s="3">
        <v>2</v>
      </c>
      <c r="K12" s="3">
        <v>3000</v>
      </c>
      <c r="L12" s="3">
        <v>6000</v>
      </c>
      <c r="M12" s="3" t="s">
        <v>18</v>
      </c>
      <c r="N12">
        <f t="shared" si="1"/>
        <v>2400</v>
      </c>
      <c r="O12">
        <f t="shared" si="2"/>
        <v>1080</v>
      </c>
      <c r="P12" t="str">
        <f t="shared" si="3"/>
        <v>Mar</v>
      </c>
      <c r="Q12" t="str">
        <f t="shared" si="4"/>
        <v>Q1</v>
      </c>
      <c r="R12" t="str">
        <f>IF(COUNTIF(A:A,A12)=1,"New","Repeat")</f>
        <v>New</v>
      </c>
      <c r="S12">
        <f t="shared" si="5"/>
        <v>1</v>
      </c>
      <c r="T12">
        <f t="shared" si="6"/>
        <v>412</v>
      </c>
      <c r="U12">
        <f t="shared" si="7"/>
        <v>0.1</v>
      </c>
      <c r="V12">
        <f>_xlfn.XLOOKUP(I12,Product_Table!A:A,Product_Table!B:B)</f>
        <v>4500</v>
      </c>
      <c r="W12">
        <f t="shared" si="8"/>
        <v>-2700</v>
      </c>
    </row>
    <row r="13" spans="1:23" ht="22.5" customHeight="1" x14ac:dyDescent="0.25">
      <c r="A13" s="3" t="s">
        <v>76</v>
      </c>
      <c r="B13" s="3" t="s">
        <v>77</v>
      </c>
      <c r="C13" s="3" t="str">
        <f t="shared" si="0"/>
        <v>Amritsar</v>
      </c>
      <c r="D13" s="3" t="s">
        <v>78</v>
      </c>
      <c r="E13" s="5">
        <v>45702</v>
      </c>
      <c r="F13" s="3" t="s">
        <v>79</v>
      </c>
      <c r="G13" s="5">
        <v>46087</v>
      </c>
      <c r="H13" s="3" t="s">
        <v>23</v>
      </c>
      <c r="I13" s="3" t="s">
        <v>80</v>
      </c>
      <c r="J13" s="3">
        <v>1</v>
      </c>
      <c r="K13" s="3">
        <v>2800</v>
      </c>
      <c r="L13" s="3">
        <v>2800</v>
      </c>
      <c r="M13" s="3" t="s">
        <v>25</v>
      </c>
      <c r="N13">
        <f t="shared" si="1"/>
        <v>2240</v>
      </c>
      <c r="O13">
        <f t="shared" si="2"/>
        <v>504</v>
      </c>
      <c r="P13" t="str">
        <f t="shared" si="3"/>
        <v>Mar</v>
      </c>
      <c r="Q13" t="str">
        <f t="shared" si="4"/>
        <v>Q1</v>
      </c>
      <c r="R13" t="str">
        <f>IF(COUNTIF(A:A,A13)=1,"New","Repeat")</f>
        <v>New</v>
      </c>
      <c r="S13">
        <f t="shared" si="5"/>
        <v>0</v>
      </c>
      <c r="T13">
        <f t="shared" si="6"/>
        <v>385</v>
      </c>
      <c r="U13">
        <f t="shared" si="7"/>
        <v>0.1</v>
      </c>
      <c r="V13">
        <f>_xlfn.XLOOKUP(I13,Product_Table!A:A,Product_Table!B:B)</f>
        <v>2200</v>
      </c>
      <c r="W13">
        <f t="shared" si="8"/>
        <v>540</v>
      </c>
    </row>
    <row r="14" spans="1:23" ht="22.5" customHeight="1" x14ac:dyDescent="0.25">
      <c r="A14" s="3" t="s">
        <v>81</v>
      </c>
      <c r="B14" s="3" t="s">
        <v>82</v>
      </c>
      <c r="C14" s="3" t="str">
        <f t="shared" si="0"/>
        <v>Noida</v>
      </c>
      <c r="D14" s="3" t="s">
        <v>83</v>
      </c>
      <c r="E14" s="5">
        <v>45690</v>
      </c>
      <c r="F14" s="3" t="s">
        <v>84</v>
      </c>
      <c r="G14" s="5">
        <v>46088</v>
      </c>
      <c r="H14" s="3" t="s">
        <v>48</v>
      </c>
      <c r="I14" s="3" t="s">
        <v>85</v>
      </c>
      <c r="J14" s="3">
        <v>3</v>
      </c>
      <c r="K14" s="3">
        <v>1500</v>
      </c>
      <c r="L14" s="3">
        <v>4500</v>
      </c>
      <c r="M14" s="3" t="s">
        <v>55</v>
      </c>
      <c r="N14">
        <f t="shared" si="1"/>
        <v>1200</v>
      </c>
      <c r="O14">
        <f t="shared" si="2"/>
        <v>810</v>
      </c>
      <c r="P14" t="str">
        <f t="shared" si="3"/>
        <v>Mar</v>
      </c>
      <c r="Q14" t="str">
        <f t="shared" si="4"/>
        <v>Q1</v>
      </c>
      <c r="R14" t="str">
        <f>IF(COUNTIF(A:A,A14)=1,"New","Repeat")</f>
        <v>New</v>
      </c>
      <c r="S14">
        <f t="shared" si="5"/>
        <v>0</v>
      </c>
      <c r="T14">
        <f t="shared" si="6"/>
        <v>398</v>
      </c>
      <c r="U14">
        <f t="shared" si="7"/>
        <v>0.1</v>
      </c>
      <c r="V14">
        <f>_xlfn.XLOOKUP(I14,Product_Table!A:A,Product_Table!B:B)</f>
        <v>5400</v>
      </c>
      <c r="W14">
        <f t="shared" si="8"/>
        <v>-10530</v>
      </c>
    </row>
    <row r="15" spans="1:23" ht="22.5" customHeight="1" x14ac:dyDescent="0.25">
      <c r="A15" s="3" t="s">
        <v>86</v>
      </c>
      <c r="B15" s="3" t="s">
        <v>87</v>
      </c>
      <c r="C15" s="3" t="str">
        <f t="shared" si="0"/>
        <v>Hyderabad</v>
      </c>
      <c r="D15" s="3" t="s">
        <v>88</v>
      </c>
      <c r="E15" s="5">
        <v>45682</v>
      </c>
      <c r="F15" s="3" t="s">
        <v>89</v>
      </c>
      <c r="G15" s="5">
        <v>46088</v>
      </c>
      <c r="H15" s="3" t="s">
        <v>16</v>
      </c>
      <c r="I15" s="3" t="s">
        <v>90</v>
      </c>
      <c r="J15" s="3">
        <v>2</v>
      </c>
      <c r="K15" s="3">
        <v>2000</v>
      </c>
      <c r="L15" s="3">
        <v>4000</v>
      </c>
      <c r="M15" s="3" t="s">
        <v>18</v>
      </c>
      <c r="N15">
        <f t="shared" si="1"/>
        <v>1600</v>
      </c>
      <c r="O15">
        <f t="shared" si="2"/>
        <v>720</v>
      </c>
      <c r="P15" t="str">
        <f t="shared" si="3"/>
        <v>Mar</v>
      </c>
      <c r="Q15" t="str">
        <f t="shared" si="4"/>
        <v>Q1</v>
      </c>
      <c r="R15" t="str">
        <f>IF(COUNTIF(A:A,A15)=1,"New","Repeat")</f>
        <v>New</v>
      </c>
      <c r="S15">
        <f t="shared" si="5"/>
        <v>0</v>
      </c>
      <c r="T15">
        <f t="shared" si="6"/>
        <v>406</v>
      </c>
      <c r="U15">
        <f t="shared" si="7"/>
        <v>0.1</v>
      </c>
      <c r="V15">
        <f>_xlfn.XLOOKUP(I15,Product_Table!A:A,Product_Table!B:B)</f>
        <v>6000</v>
      </c>
      <c r="W15">
        <f t="shared" si="8"/>
        <v>-7200</v>
      </c>
    </row>
    <row r="16" spans="1:23" ht="22.5" customHeight="1" x14ac:dyDescent="0.25">
      <c r="A16" s="3" t="s">
        <v>91</v>
      </c>
      <c r="B16" s="3" t="s">
        <v>92</v>
      </c>
      <c r="C16" s="3" t="str">
        <f t="shared" si="0"/>
        <v>Surat</v>
      </c>
      <c r="D16" s="3" t="s">
        <v>93</v>
      </c>
      <c r="E16" s="5">
        <v>45727</v>
      </c>
      <c r="F16" s="3" t="s">
        <v>94</v>
      </c>
      <c r="G16" s="5">
        <v>46089</v>
      </c>
      <c r="H16" s="3" t="s">
        <v>30</v>
      </c>
      <c r="I16" s="3" t="s">
        <v>95</v>
      </c>
      <c r="J16" s="3">
        <v>1</v>
      </c>
      <c r="K16" s="3">
        <v>12000</v>
      </c>
      <c r="L16" s="3">
        <v>12000</v>
      </c>
      <c r="M16" s="3" t="s">
        <v>25</v>
      </c>
      <c r="N16">
        <f t="shared" si="1"/>
        <v>9600</v>
      </c>
      <c r="O16">
        <f t="shared" si="2"/>
        <v>2160</v>
      </c>
      <c r="P16" t="str">
        <f t="shared" si="3"/>
        <v>Mar</v>
      </c>
      <c r="Q16" t="str">
        <f t="shared" si="4"/>
        <v>Q1</v>
      </c>
      <c r="R16" t="str">
        <f>IF(COUNTIF(A:A,A16)=1,"New","Repeat")</f>
        <v>New</v>
      </c>
      <c r="S16">
        <f t="shared" si="5"/>
        <v>1</v>
      </c>
      <c r="T16">
        <f t="shared" si="6"/>
        <v>362</v>
      </c>
      <c r="U16">
        <f t="shared" si="7"/>
        <v>0.2</v>
      </c>
      <c r="V16">
        <f>_xlfn.XLOOKUP(I16,Product_Table!A:A,Product_Table!B:B)</f>
        <v>7800</v>
      </c>
      <c r="W16">
        <f t="shared" si="8"/>
        <v>3360</v>
      </c>
    </row>
    <row r="17" spans="1:23" ht="22.5" customHeight="1" x14ac:dyDescent="0.25">
      <c r="A17" s="3" t="s">
        <v>96</v>
      </c>
      <c r="B17" s="3" t="s">
        <v>97</v>
      </c>
      <c r="C17" s="3" t="str">
        <f t="shared" si="0"/>
        <v>Chennai</v>
      </c>
      <c r="D17" s="3" t="s">
        <v>98</v>
      </c>
      <c r="E17" s="5">
        <v>45666</v>
      </c>
      <c r="F17" s="3" t="s">
        <v>99</v>
      </c>
      <c r="G17" s="5">
        <v>46089</v>
      </c>
      <c r="H17" s="3" t="s">
        <v>37</v>
      </c>
      <c r="I17" s="3" t="s">
        <v>100</v>
      </c>
      <c r="J17" s="3">
        <v>2</v>
      </c>
      <c r="K17" s="3">
        <v>3500</v>
      </c>
      <c r="L17" s="3">
        <v>7000</v>
      </c>
      <c r="M17" s="3" t="s">
        <v>18</v>
      </c>
      <c r="N17">
        <f t="shared" si="1"/>
        <v>2800</v>
      </c>
      <c r="O17">
        <f t="shared" si="2"/>
        <v>1260</v>
      </c>
      <c r="P17" t="str">
        <f t="shared" si="3"/>
        <v>Mar</v>
      </c>
      <c r="Q17" t="str">
        <f t="shared" si="4"/>
        <v>Q1</v>
      </c>
      <c r="R17" t="str">
        <f>IF(COUNTIF(A:A,A17)=1,"New","Repeat")</f>
        <v>New</v>
      </c>
      <c r="S17">
        <f t="shared" si="5"/>
        <v>1</v>
      </c>
      <c r="T17">
        <f t="shared" si="6"/>
        <v>423</v>
      </c>
      <c r="U17">
        <f t="shared" si="7"/>
        <v>0.1</v>
      </c>
      <c r="V17">
        <f>_xlfn.XLOOKUP(I17,Product_Table!A:A,Product_Table!B:B)</f>
        <v>2000</v>
      </c>
      <c r="W17">
        <f t="shared" si="8"/>
        <v>2700</v>
      </c>
    </row>
    <row r="18" spans="1:23" ht="22.5" customHeight="1" x14ac:dyDescent="0.25">
      <c r="A18" s="3" t="s">
        <v>101</v>
      </c>
      <c r="B18" s="3" t="s">
        <v>102</v>
      </c>
      <c r="C18" s="3" t="str">
        <f t="shared" si="0"/>
        <v>Patna</v>
      </c>
      <c r="D18" s="3" t="s">
        <v>103</v>
      </c>
      <c r="E18" s="5">
        <v>45707</v>
      </c>
      <c r="F18" s="3" t="s">
        <v>104</v>
      </c>
      <c r="G18" s="5">
        <v>46090</v>
      </c>
      <c r="H18" s="3" t="s">
        <v>16</v>
      </c>
      <c r="I18" s="3" t="s">
        <v>105</v>
      </c>
      <c r="J18" s="3">
        <v>3</v>
      </c>
      <c r="K18" s="3">
        <v>1500</v>
      </c>
      <c r="L18" s="3">
        <v>4500</v>
      </c>
      <c r="M18" s="3" t="s">
        <v>55</v>
      </c>
      <c r="N18">
        <f t="shared" si="1"/>
        <v>1200</v>
      </c>
      <c r="O18">
        <f t="shared" si="2"/>
        <v>810</v>
      </c>
      <c r="P18" t="str">
        <f t="shared" si="3"/>
        <v>Mar</v>
      </c>
      <c r="Q18" t="str">
        <f t="shared" si="4"/>
        <v>Q1</v>
      </c>
      <c r="R18" t="str">
        <f>IF(COUNTIF(A:A,A18)=1,"New","Repeat")</f>
        <v>New</v>
      </c>
      <c r="S18">
        <f t="shared" si="5"/>
        <v>0</v>
      </c>
      <c r="T18">
        <f t="shared" si="6"/>
        <v>383</v>
      </c>
      <c r="U18">
        <f t="shared" si="7"/>
        <v>0.1</v>
      </c>
      <c r="V18">
        <f>_xlfn.XLOOKUP(I18,Product_Table!A:A,Product_Table!B:B)</f>
        <v>1000</v>
      </c>
      <c r="W18">
        <f t="shared" si="8"/>
        <v>1350</v>
      </c>
    </row>
    <row r="19" spans="1:23" ht="22.5" customHeight="1" x14ac:dyDescent="0.25">
      <c r="A19" s="3" t="s">
        <v>106</v>
      </c>
      <c r="B19" s="3" t="s">
        <v>107</v>
      </c>
      <c r="C19" s="3" t="str">
        <f t="shared" si="0"/>
        <v>Ludhiana</v>
      </c>
      <c r="D19" s="3" t="s">
        <v>108</v>
      </c>
      <c r="E19" s="5">
        <v>45719</v>
      </c>
      <c r="F19" s="3" t="s">
        <v>109</v>
      </c>
      <c r="G19" s="5">
        <v>46090</v>
      </c>
      <c r="H19" s="3" t="s">
        <v>23</v>
      </c>
      <c r="I19" s="3" t="s">
        <v>110</v>
      </c>
      <c r="J19" s="3">
        <v>1</v>
      </c>
      <c r="K19" s="3">
        <v>6500</v>
      </c>
      <c r="L19" s="3">
        <v>6500</v>
      </c>
      <c r="M19" s="3" t="s">
        <v>25</v>
      </c>
      <c r="N19">
        <f t="shared" si="1"/>
        <v>5200</v>
      </c>
      <c r="O19">
        <f t="shared" si="2"/>
        <v>1170</v>
      </c>
      <c r="P19" t="str">
        <f t="shared" si="3"/>
        <v>Mar</v>
      </c>
      <c r="Q19" t="str">
        <f t="shared" si="4"/>
        <v>Q1</v>
      </c>
      <c r="R19" t="str">
        <f>IF(COUNTIF(A:A,A19)=1,"New","Repeat")</f>
        <v>New</v>
      </c>
      <c r="S19">
        <f t="shared" si="5"/>
        <v>1</v>
      </c>
      <c r="T19">
        <f t="shared" si="6"/>
        <v>371</v>
      </c>
      <c r="U19">
        <f t="shared" si="7"/>
        <v>0.2</v>
      </c>
      <c r="V19">
        <f>_xlfn.XLOOKUP(I19,Product_Table!A:A,Product_Table!B:B)</f>
        <v>1100</v>
      </c>
      <c r="W19">
        <f t="shared" si="8"/>
        <v>4320</v>
      </c>
    </row>
    <row r="20" spans="1:23" ht="22.5" customHeight="1" x14ac:dyDescent="0.25">
      <c r="A20" s="3" t="s">
        <v>111</v>
      </c>
      <c r="B20" s="3" t="s">
        <v>112</v>
      </c>
      <c r="C20" s="3" t="str">
        <f t="shared" si="0"/>
        <v>Kanpur</v>
      </c>
      <c r="D20" s="3" t="s">
        <v>113</v>
      </c>
      <c r="E20" s="5">
        <v>45684</v>
      </c>
      <c r="F20" s="3" t="s">
        <v>114</v>
      </c>
      <c r="G20" s="5">
        <v>46091</v>
      </c>
      <c r="H20" s="3" t="s">
        <v>48</v>
      </c>
      <c r="I20" s="3" t="s">
        <v>115</v>
      </c>
      <c r="J20" s="3">
        <v>5</v>
      </c>
      <c r="K20" s="3">
        <v>600</v>
      </c>
      <c r="L20" s="3">
        <v>3000</v>
      </c>
      <c r="M20" s="3" t="s">
        <v>18</v>
      </c>
      <c r="N20">
        <f t="shared" si="1"/>
        <v>480</v>
      </c>
      <c r="O20">
        <f t="shared" si="2"/>
        <v>540</v>
      </c>
      <c r="P20" t="str">
        <f t="shared" si="3"/>
        <v>Mar</v>
      </c>
      <c r="Q20" t="str">
        <f t="shared" si="4"/>
        <v>Q1</v>
      </c>
      <c r="R20" t="str">
        <f>IF(COUNTIF(A:A,A20)=1,"New","Repeat")</f>
        <v>New</v>
      </c>
      <c r="S20">
        <f t="shared" si="5"/>
        <v>0</v>
      </c>
      <c r="T20">
        <f t="shared" si="6"/>
        <v>407</v>
      </c>
      <c r="U20">
        <f t="shared" si="7"/>
        <v>0.1</v>
      </c>
      <c r="V20">
        <f>_xlfn.XLOOKUP(I20,Product_Table!A:A,Product_Table!B:B)</f>
        <v>5000</v>
      </c>
      <c r="W20">
        <f t="shared" si="8"/>
        <v>-19800</v>
      </c>
    </row>
    <row r="21" spans="1:23" ht="22.5" customHeight="1" x14ac:dyDescent="0.25">
      <c r="A21" s="3" t="s">
        <v>116</v>
      </c>
      <c r="B21" s="3" t="s">
        <v>117</v>
      </c>
      <c r="C21" s="3" t="str">
        <f t="shared" si="0"/>
        <v>Trivandrum</v>
      </c>
      <c r="D21" s="3" t="s">
        <v>118</v>
      </c>
      <c r="E21" s="5">
        <v>45710</v>
      </c>
      <c r="F21" s="3" t="s">
        <v>119</v>
      </c>
      <c r="G21" s="5">
        <v>46091</v>
      </c>
      <c r="H21" s="3" t="s">
        <v>30</v>
      </c>
      <c r="I21" s="3" t="s">
        <v>120</v>
      </c>
      <c r="J21" s="3">
        <v>1</v>
      </c>
      <c r="K21" s="3">
        <v>15000</v>
      </c>
      <c r="L21" s="3">
        <v>15000</v>
      </c>
      <c r="M21" s="3" t="s">
        <v>32</v>
      </c>
      <c r="N21">
        <f t="shared" si="1"/>
        <v>12000</v>
      </c>
      <c r="O21">
        <f t="shared" si="2"/>
        <v>2700</v>
      </c>
      <c r="P21" t="str">
        <f t="shared" si="3"/>
        <v>Mar</v>
      </c>
      <c r="Q21" t="str">
        <f t="shared" si="4"/>
        <v>Q1</v>
      </c>
      <c r="R21" t="str">
        <f>IF(COUNTIF(A:A,A21)=1,"New","Repeat")</f>
        <v>New</v>
      </c>
      <c r="S21">
        <f t="shared" si="5"/>
        <v>1</v>
      </c>
      <c r="T21">
        <f t="shared" si="6"/>
        <v>381</v>
      </c>
      <c r="U21">
        <f t="shared" si="7"/>
        <v>0.2</v>
      </c>
      <c r="V21">
        <f>_xlfn.XLOOKUP(I21,Product_Table!A:A,Product_Table!B:B)</f>
        <v>4000</v>
      </c>
      <c r="W21">
        <f t="shared" si="8"/>
        <v>8800</v>
      </c>
    </row>
    <row r="22" spans="1:23" ht="22.5" customHeight="1" x14ac:dyDescent="0.25">
      <c r="A22" s="3" t="s">
        <v>121</v>
      </c>
      <c r="B22" s="3" t="s">
        <v>122</v>
      </c>
      <c r="C22" s="3" t="str">
        <f t="shared" si="0"/>
        <v>Ahmedabad</v>
      </c>
      <c r="D22" s="3" t="s">
        <v>123</v>
      </c>
      <c r="E22" s="5">
        <v>45670</v>
      </c>
      <c r="F22" s="3" t="s">
        <v>124</v>
      </c>
      <c r="G22" s="5">
        <v>46092</v>
      </c>
      <c r="H22" s="3" t="s">
        <v>16</v>
      </c>
      <c r="I22" s="3" t="s">
        <v>125</v>
      </c>
      <c r="J22" s="3">
        <v>2</v>
      </c>
      <c r="K22" s="3">
        <v>1800</v>
      </c>
      <c r="L22" s="3">
        <v>3600</v>
      </c>
      <c r="M22" s="3" t="s">
        <v>18</v>
      </c>
      <c r="N22">
        <f t="shared" si="1"/>
        <v>1440</v>
      </c>
      <c r="O22">
        <f t="shared" si="2"/>
        <v>648</v>
      </c>
      <c r="P22" t="str">
        <f t="shared" si="3"/>
        <v>Mar</v>
      </c>
      <c r="Q22" t="str">
        <f t="shared" si="4"/>
        <v>Q1</v>
      </c>
      <c r="R22" t="str">
        <f>IF(COUNTIF(A:A,A22)=1,"New","Repeat")</f>
        <v>New</v>
      </c>
      <c r="S22">
        <f t="shared" si="5"/>
        <v>0</v>
      </c>
      <c r="T22">
        <f t="shared" si="6"/>
        <v>422</v>
      </c>
      <c r="U22">
        <f t="shared" si="7"/>
        <v>0.1</v>
      </c>
      <c r="V22">
        <f>_xlfn.XLOOKUP(I22,Product_Table!A:A,Product_Table!B:B)</f>
        <v>1000</v>
      </c>
      <c r="W22">
        <f t="shared" si="8"/>
        <v>1440</v>
      </c>
    </row>
    <row r="23" spans="1:23" ht="22.5" customHeight="1" x14ac:dyDescent="0.25">
      <c r="A23" s="3" t="s">
        <v>126</v>
      </c>
      <c r="B23" s="3" t="s">
        <v>127</v>
      </c>
      <c r="C23" s="3" t="str">
        <f t="shared" si="0"/>
        <v>Dehradun</v>
      </c>
      <c r="D23" s="3" t="s">
        <v>128</v>
      </c>
      <c r="E23" s="5">
        <v>45728</v>
      </c>
      <c r="F23" s="3" t="s">
        <v>129</v>
      </c>
      <c r="G23" s="5">
        <v>46092</v>
      </c>
      <c r="H23" s="3" t="s">
        <v>37</v>
      </c>
      <c r="I23" s="3" t="s">
        <v>130</v>
      </c>
      <c r="J23" s="3">
        <v>2</v>
      </c>
      <c r="K23" s="3">
        <v>2500</v>
      </c>
      <c r="L23" s="3">
        <v>5000</v>
      </c>
      <c r="M23" s="3" t="s">
        <v>25</v>
      </c>
      <c r="N23">
        <f t="shared" si="1"/>
        <v>2000</v>
      </c>
      <c r="O23">
        <f t="shared" si="2"/>
        <v>900</v>
      </c>
      <c r="P23" t="str">
        <f t="shared" si="3"/>
        <v>Mar</v>
      </c>
      <c r="Q23" t="str">
        <f t="shared" si="4"/>
        <v>Q1</v>
      </c>
      <c r="R23" t="str">
        <f>IF(COUNTIF(A:A,A23)=1,"New","Repeat")</f>
        <v>New</v>
      </c>
      <c r="S23">
        <f t="shared" si="5"/>
        <v>0</v>
      </c>
      <c r="T23">
        <f t="shared" si="6"/>
        <v>364</v>
      </c>
      <c r="U23">
        <f t="shared" si="7"/>
        <v>0.1</v>
      </c>
      <c r="V23">
        <f>_xlfn.XLOOKUP(I23,Product_Table!A:A,Product_Table!B:B)</f>
        <v>1000</v>
      </c>
      <c r="W23">
        <f t="shared" si="8"/>
        <v>2700</v>
      </c>
    </row>
    <row r="24" spans="1:23" ht="22.5" customHeight="1" x14ac:dyDescent="0.25">
      <c r="A24" s="3" t="s">
        <v>131</v>
      </c>
      <c r="B24" s="3" t="s">
        <v>132</v>
      </c>
      <c r="C24" s="3" t="str">
        <f t="shared" si="0"/>
        <v>Faridabad</v>
      </c>
      <c r="D24" s="3" t="s">
        <v>133</v>
      </c>
      <c r="E24" s="5">
        <v>45696</v>
      </c>
      <c r="F24" s="3" t="s">
        <v>134</v>
      </c>
      <c r="G24" s="5">
        <v>46093</v>
      </c>
      <c r="H24" s="3" t="s">
        <v>23</v>
      </c>
      <c r="I24" s="3" t="s">
        <v>135</v>
      </c>
      <c r="J24" s="3">
        <v>1</v>
      </c>
      <c r="K24" s="3">
        <v>4200</v>
      </c>
      <c r="L24" s="3">
        <v>4200</v>
      </c>
      <c r="M24" s="3" t="s">
        <v>55</v>
      </c>
      <c r="N24">
        <f t="shared" si="1"/>
        <v>3360</v>
      </c>
      <c r="O24">
        <f t="shared" si="2"/>
        <v>756</v>
      </c>
      <c r="P24" t="str">
        <f t="shared" si="3"/>
        <v>Mar</v>
      </c>
      <c r="Q24" t="str">
        <f t="shared" si="4"/>
        <v>Q1</v>
      </c>
      <c r="R24" t="str">
        <f>IF(COUNTIF(A:A,A24)=1,"New","Repeat")</f>
        <v>New</v>
      </c>
      <c r="S24">
        <f t="shared" si="5"/>
        <v>0</v>
      </c>
      <c r="T24">
        <f t="shared" si="6"/>
        <v>397</v>
      </c>
      <c r="U24">
        <f t="shared" si="7"/>
        <v>0.1</v>
      </c>
      <c r="V24">
        <f>_xlfn.XLOOKUP(I24,Product_Table!A:A,Product_Table!B:B)</f>
        <v>2000</v>
      </c>
      <c r="W24">
        <f t="shared" si="8"/>
        <v>1980</v>
      </c>
    </row>
    <row r="25" spans="1:23" ht="22.5" customHeight="1" x14ac:dyDescent="0.25">
      <c r="A25" s="3" t="s">
        <v>136</v>
      </c>
      <c r="B25" s="3" t="s">
        <v>137</v>
      </c>
      <c r="C25" s="3" t="str">
        <f t="shared" si="0"/>
        <v>Bhopal</v>
      </c>
      <c r="D25" s="3" t="s">
        <v>138</v>
      </c>
      <c r="E25" s="5">
        <v>45677</v>
      </c>
      <c r="F25" s="3" t="s">
        <v>139</v>
      </c>
      <c r="G25" s="5">
        <v>46093</v>
      </c>
      <c r="H25" s="3" t="s">
        <v>30</v>
      </c>
      <c r="I25" s="3" t="s">
        <v>140</v>
      </c>
      <c r="J25" s="3">
        <v>3</v>
      </c>
      <c r="K25" s="3">
        <v>1800</v>
      </c>
      <c r="L25" s="3">
        <v>5400</v>
      </c>
      <c r="M25" s="3" t="s">
        <v>18</v>
      </c>
      <c r="N25">
        <f t="shared" si="1"/>
        <v>1440</v>
      </c>
      <c r="O25">
        <f t="shared" si="2"/>
        <v>972</v>
      </c>
      <c r="P25" t="str">
        <f t="shared" si="3"/>
        <v>Mar</v>
      </c>
      <c r="Q25" t="str">
        <f t="shared" si="4"/>
        <v>Q1</v>
      </c>
      <c r="R25" t="str">
        <f>IF(COUNTIF(A:A,A25)=1,"New","Repeat")</f>
        <v>New</v>
      </c>
      <c r="S25">
        <f t="shared" si="5"/>
        <v>1</v>
      </c>
      <c r="T25">
        <f t="shared" si="6"/>
        <v>416</v>
      </c>
      <c r="U25">
        <f t="shared" si="7"/>
        <v>0.1</v>
      </c>
      <c r="V25">
        <f>_xlfn.XLOOKUP(I25,Product_Table!A:A,Product_Table!B:B)</f>
        <v>2100</v>
      </c>
      <c r="W25">
        <f t="shared" si="8"/>
        <v>-810</v>
      </c>
    </row>
    <row r="26" spans="1:23" ht="22.5" customHeight="1" x14ac:dyDescent="0.25">
      <c r="A26" s="3" t="s">
        <v>141</v>
      </c>
      <c r="B26" s="3" t="s">
        <v>142</v>
      </c>
      <c r="C26" s="3" t="str">
        <f t="shared" si="0"/>
        <v>Ranchi</v>
      </c>
      <c r="D26" s="3" t="s">
        <v>143</v>
      </c>
      <c r="E26" s="5">
        <v>45712</v>
      </c>
      <c r="F26" s="3" t="s">
        <v>144</v>
      </c>
      <c r="G26" s="5">
        <v>46094</v>
      </c>
      <c r="H26" s="3" t="s">
        <v>16</v>
      </c>
      <c r="I26" s="3" t="s">
        <v>145</v>
      </c>
      <c r="J26" s="3">
        <v>1</v>
      </c>
      <c r="K26" s="3">
        <v>14000</v>
      </c>
      <c r="L26" s="3">
        <v>14000</v>
      </c>
      <c r="M26" s="3" t="s">
        <v>25</v>
      </c>
      <c r="N26">
        <f t="shared" si="1"/>
        <v>11200</v>
      </c>
      <c r="O26">
        <f t="shared" si="2"/>
        <v>2520</v>
      </c>
      <c r="P26" t="str">
        <f t="shared" si="3"/>
        <v>Mar</v>
      </c>
      <c r="Q26" t="str">
        <f t="shared" si="4"/>
        <v>Q1</v>
      </c>
      <c r="R26" t="str">
        <f>IF(COUNTIF(A:A,A26)=1,"New","Repeat")</f>
        <v>New</v>
      </c>
      <c r="S26">
        <f t="shared" si="5"/>
        <v>1</v>
      </c>
      <c r="T26">
        <f t="shared" si="6"/>
        <v>382</v>
      </c>
      <c r="U26">
        <f t="shared" si="7"/>
        <v>0.2</v>
      </c>
      <c r="V26">
        <f>_xlfn.XLOOKUP(I26,Product_Table!A:A,Product_Table!B:B)</f>
        <v>3100</v>
      </c>
      <c r="W26">
        <f t="shared" si="8"/>
        <v>8720</v>
      </c>
    </row>
    <row r="27" spans="1:23" ht="22.5" customHeight="1" x14ac:dyDescent="0.25">
      <c r="A27" s="3" t="s">
        <v>146</v>
      </c>
      <c r="B27" s="3" t="s">
        <v>147</v>
      </c>
      <c r="C27" s="3" t="str">
        <f t="shared" si="0"/>
        <v>Kochi</v>
      </c>
      <c r="D27" s="3" t="s">
        <v>58</v>
      </c>
      <c r="E27" s="5">
        <v>45718</v>
      </c>
      <c r="F27" s="3" t="s">
        <v>148</v>
      </c>
      <c r="G27" s="5">
        <v>46094</v>
      </c>
      <c r="H27" s="3" t="s">
        <v>48</v>
      </c>
      <c r="I27" s="3" t="s">
        <v>149</v>
      </c>
      <c r="J27" s="3">
        <v>4</v>
      </c>
      <c r="K27" s="3">
        <v>900</v>
      </c>
      <c r="L27" s="3">
        <v>3600</v>
      </c>
      <c r="M27" s="3" t="s">
        <v>18</v>
      </c>
      <c r="N27">
        <f t="shared" si="1"/>
        <v>720</v>
      </c>
      <c r="O27">
        <f t="shared" si="2"/>
        <v>648</v>
      </c>
      <c r="P27" t="str">
        <f t="shared" si="3"/>
        <v>Mar</v>
      </c>
      <c r="Q27" t="str">
        <f t="shared" si="4"/>
        <v>Q1</v>
      </c>
      <c r="R27" t="str">
        <f>IF(COUNTIF(A:A,A27)=1,"New","Repeat")</f>
        <v>New</v>
      </c>
      <c r="S27">
        <f t="shared" si="5"/>
        <v>0</v>
      </c>
      <c r="T27">
        <f t="shared" si="6"/>
        <v>376</v>
      </c>
      <c r="U27">
        <f t="shared" si="7"/>
        <v>0.1</v>
      </c>
      <c r="V27">
        <f>_xlfn.XLOOKUP(I27,Product_Table!A:A,Product_Table!B:B)</f>
        <v>1400</v>
      </c>
      <c r="W27">
        <f t="shared" si="8"/>
        <v>-1800</v>
      </c>
    </row>
    <row r="28" spans="1:23" ht="22.5" customHeight="1" x14ac:dyDescent="0.25">
      <c r="A28" s="3" t="s">
        <v>150</v>
      </c>
      <c r="B28" s="3" t="s">
        <v>151</v>
      </c>
      <c r="C28" s="3" t="str">
        <f t="shared" si="0"/>
        <v>Varanasi</v>
      </c>
      <c r="D28" s="3" t="s">
        <v>152</v>
      </c>
      <c r="E28" s="5">
        <v>45673</v>
      </c>
      <c r="F28" s="3" t="s">
        <v>153</v>
      </c>
      <c r="G28" s="5">
        <v>46095</v>
      </c>
      <c r="H28" s="3" t="s">
        <v>23</v>
      </c>
      <c r="I28" s="3" t="s">
        <v>154</v>
      </c>
      <c r="J28" s="3">
        <v>2</v>
      </c>
      <c r="K28" s="3">
        <v>1500</v>
      </c>
      <c r="L28" s="3">
        <v>3000</v>
      </c>
      <c r="M28" s="3" t="s">
        <v>55</v>
      </c>
      <c r="N28">
        <f t="shared" si="1"/>
        <v>1200</v>
      </c>
      <c r="O28">
        <f t="shared" si="2"/>
        <v>540</v>
      </c>
      <c r="P28" t="str">
        <f t="shared" si="3"/>
        <v>Mar</v>
      </c>
      <c r="Q28" t="str">
        <f t="shared" si="4"/>
        <v>Q1</v>
      </c>
      <c r="R28" t="str">
        <f>IF(COUNTIF(A:A,A28)=1,"New","Repeat")</f>
        <v>New</v>
      </c>
      <c r="S28">
        <f t="shared" si="5"/>
        <v>0</v>
      </c>
      <c r="T28">
        <f t="shared" si="6"/>
        <v>422</v>
      </c>
      <c r="U28">
        <f t="shared" si="7"/>
        <v>0.1</v>
      </c>
      <c r="V28">
        <f>_xlfn.XLOOKUP(I28,Product_Table!A:A,Product_Table!B:B)</f>
        <v>1500</v>
      </c>
      <c r="W28">
        <f t="shared" si="8"/>
        <v>0</v>
      </c>
    </row>
    <row r="29" spans="1:23" ht="22.5" customHeight="1" x14ac:dyDescent="0.25">
      <c r="A29" s="3" t="s">
        <v>155</v>
      </c>
      <c r="B29" s="3" t="s">
        <v>156</v>
      </c>
      <c r="C29" s="3" t="str">
        <f t="shared" si="0"/>
        <v>Delhi</v>
      </c>
      <c r="D29" s="3" t="s">
        <v>14</v>
      </c>
      <c r="E29" s="5">
        <v>45722</v>
      </c>
      <c r="F29" s="3" t="s">
        <v>157</v>
      </c>
      <c r="G29" s="5">
        <v>46095</v>
      </c>
      <c r="H29" s="3" t="s">
        <v>37</v>
      </c>
      <c r="I29" s="3" t="s">
        <v>158</v>
      </c>
      <c r="J29" s="3">
        <v>2</v>
      </c>
      <c r="K29" s="3">
        <v>1800</v>
      </c>
      <c r="L29" s="3">
        <v>3600</v>
      </c>
      <c r="M29" s="3" t="s">
        <v>25</v>
      </c>
      <c r="N29">
        <f t="shared" si="1"/>
        <v>1440</v>
      </c>
      <c r="O29">
        <f t="shared" si="2"/>
        <v>648</v>
      </c>
      <c r="P29" t="str">
        <f t="shared" si="3"/>
        <v>Mar</v>
      </c>
      <c r="Q29" t="str">
        <f t="shared" si="4"/>
        <v>Q1</v>
      </c>
      <c r="R29" t="str">
        <f>IF(COUNTIF(A:A,A29)=1,"New","Repeat")</f>
        <v>New</v>
      </c>
      <c r="S29">
        <f t="shared" si="5"/>
        <v>0</v>
      </c>
      <c r="T29">
        <f t="shared" si="6"/>
        <v>373</v>
      </c>
      <c r="U29">
        <f t="shared" si="7"/>
        <v>0.1</v>
      </c>
      <c r="V29">
        <f>_xlfn.XLOOKUP(I29,Product_Table!A:A,Product_Table!B:B)</f>
        <v>1400</v>
      </c>
      <c r="W29">
        <f t="shared" si="8"/>
        <v>720</v>
      </c>
    </row>
    <row r="30" spans="1:23" ht="22.5" customHeight="1" x14ac:dyDescent="0.25">
      <c r="A30" s="3" t="s">
        <v>159</v>
      </c>
      <c r="B30" s="3" t="s">
        <v>160</v>
      </c>
      <c r="C30" s="3" t="str">
        <f t="shared" si="0"/>
        <v>Gurgaon</v>
      </c>
      <c r="D30" s="3" t="s">
        <v>28</v>
      </c>
      <c r="E30" s="5">
        <v>45689</v>
      </c>
      <c r="F30" s="3" t="s">
        <v>161</v>
      </c>
      <c r="G30" s="5">
        <v>46096</v>
      </c>
      <c r="H30" s="3" t="s">
        <v>16</v>
      </c>
      <c r="I30" s="3" t="s">
        <v>162</v>
      </c>
      <c r="J30" s="3">
        <v>1</v>
      </c>
      <c r="K30" s="3">
        <v>3500</v>
      </c>
      <c r="L30" s="3">
        <v>3500</v>
      </c>
      <c r="M30" s="3" t="s">
        <v>18</v>
      </c>
      <c r="N30">
        <f t="shared" si="1"/>
        <v>2800</v>
      </c>
      <c r="O30">
        <f t="shared" si="2"/>
        <v>630</v>
      </c>
      <c r="P30" t="str">
        <f t="shared" si="3"/>
        <v>Mar</v>
      </c>
      <c r="Q30" t="str">
        <f t="shared" si="4"/>
        <v>Q1</v>
      </c>
      <c r="R30" t="str">
        <f>IF(COUNTIF(A:A,A30)=1,"New","Repeat")</f>
        <v>New</v>
      </c>
      <c r="S30">
        <f t="shared" si="5"/>
        <v>0</v>
      </c>
      <c r="T30">
        <f t="shared" si="6"/>
        <v>407</v>
      </c>
      <c r="U30">
        <f t="shared" si="7"/>
        <v>0.1</v>
      </c>
      <c r="V30">
        <f>_xlfn.XLOOKUP(I30,Product_Table!A:A,Product_Table!B:B)</f>
        <v>1700</v>
      </c>
      <c r="W30">
        <f t="shared" si="8"/>
        <v>1620</v>
      </c>
    </row>
    <row r="31" spans="1:23" ht="22.5" customHeight="1" x14ac:dyDescent="0.25">
      <c r="A31" s="3" t="s">
        <v>163</v>
      </c>
      <c r="B31" s="3" t="s">
        <v>164</v>
      </c>
      <c r="C31" s="3" t="str">
        <f t="shared" si="0"/>
        <v>Jaipur</v>
      </c>
      <c r="D31" s="3" t="s">
        <v>46</v>
      </c>
      <c r="E31" s="5">
        <v>45685</v>
      </c>
      <c r="F31" s="3" t="s">
        <v>165</v>
      </c>
      <c r="G31" s="5">
        <v>46096</v>
      </c>
      <c r="H31" s="3" t="s">
        <v>30</v>
      </c>
      <c r="I31" s="3" t="s">
        <v>166</v>
      </c>
      <c r="J31" s="3">
        <v>1</v>
      </c>
      <c r="K31" s="3">
        <v>6500</v>
      </c>
      <c r="L31" s="3">
        <v>6500</v>
      </c>
      <c r="M31" s="3" t="s">
        <v>32</v>
      </c>
      <c r="N31">
        <f t="shared" si="1"/>
        <v>5200</v>
      </c>
      <c r="O31">
        <f t="shared" si="2"/>
        <v>1170</v>
      </c>
      <c r="P31" t="str">
        <f t="shared" si="3"/>
        <v>Mar</v>
      </c>
      <c r="Q31" t="str">
        <f t="shared" si="4"/>
        <v>Q1</v>
      </c>
      <c r="R31" t="str">
        <f>IF(COUNTIF(A:A,A31)=1,"New","Repeat")</f>
        <v>New</v>
      </c>
      <c r="S31">
        <f t="shared" si="5"/>
        <v>1</v>
      </c>
      <c r="T31">
        <f t="shared" si="6"/>
        <v>411</v>
      </c>
      <c r="U31">
        <f t="shared" si="7"/>
        <v>0.2</v>
      </c>
      <c r="V31">
        <f>_xlfn.XLOOKUP(I31,Product_Table!A:A,Product_Table!B:B)</f>
        <v>1800</v>
      </c>
      <c r="W31">
        <f t="shared" si="8"/>
        <v>3760</v>
      </c>
    </row>
    <row r="32" spans="1:23" ht="22.5" customHeight="1" x14ac:dyDescent="0.25">
      <c r="A32" s="3" t="s">
        <v>167</v>
      </c>
      <c r="B32" s="3" t="s">
        <v>168</v>
      </c>
      <c r="C32" s="3" t="str">
        <f t="shared" si="0"/>
        <v>Delhi</v>
      </c>
      <c r="D32" s="3" t="s">
        <v>14</v>
      </c>
      <c r="E32" s="5">
        <v>45705</v>
      </c>
      <c r="F32" s="3" t="s">
        <v>169</v>
      </c>
      <c r="G32" s="5">
        <v>46097</v>
      </c>
      <c r="H32" s="3" t="s">
        <v>16</v>
      </c>
      <c r="I32" s="3" t="s">
        <v>170</v>
      </c>
      <c r="J32" s="3">
        <v>2</v>
      </c>
      <c r="K32" s="3">
        <v>2800</v>
      </c>
      <c r="L32" s="3">
        <v>5600</v>
      </c>
      <c r="M32" s="3" t="s">
        <v>18</v>
      </c>
      <c r="N32">
        <f t="shared" si="1"/>
        <v>2240</v>
      </c>
      <c r="O32">
        <f t="shared" si="2"/>
        <v>1008</v>
      </c>
      <c r="P32" t="str">
        <f t="shared" si="3"/>
        <v>Mar</v>
      </c>
      <c r="Q32" t="str">
        <f t="shared" si="4"/>
        <v>Q1</v>
      </c>
      <c r="R32" t="str">
        <f>IF(COUNTIF(A:A,A32)=1,"New","Repeat")</f>
        <v>New</v>
      </c>
      <c r="S32">
        <f t="shared" si="5"/>
        <v>1</v>
      </c>
      <c r="T32">
        <f t="shared" si="6"/>
        <v>392</v>
      </c>
      <c r="U32">
        <f t="shared" si="7"/>
        <v>0.1</v>
      </c>
      <c r="V32">
        <f>_xlfn.XLOOKUP(I32,Product_Table!A:A,Product_Table!B:B)</f>
        <v>1400</v>
      </c>
      <c r="W32">
        <f t="shared" si="8"/>
        <v>2520</v>
      </c>
    </row>
    <row r="33" spans="1:23" ht="22.5" customHeight="1" x14ac:dyDescent="0.25">
      <c r="A33" s="3" t="s">
        <v>171</v>
      </c>
      <c r="B33" s="3" t="s">
        <v>172</v>
      </c>
      <c r="C33" s="3" t="str">
        <f t="shared" si="0"/>
        <v>Mumbai</v>
      </c>
      <c r="D33" s="3" t="s">
        <v>21</v>
      </c>
      <c r="E33" s="5">
        <v>45720</v>
      </c>
      <c r="F33" s="3" t="s">
        <v>173</v>
      </c>
      <c r="G33" s="5">
        <v>46097</v>
      </c>
      <c r="H33" s="3" t="s">
        <v>23</v>
      </c>
      <c r="I33" s="3" t="s">
        <v>174</v>
      </c>
      <c r="J33" s="3">
        <v>2</v>
      </c>
      <c r="K33" s="3">
        <v>2200</v>
      </c>
      <c r="L33" s="3">
        <v>4400</v>
      </c>
      <c r="M33" s="3" t="s">
        <v>25</v>
      </c>
      <c r="N33">
        <f t="shared" si="1"/>
        <v>1760</v>
      </c>
      <c r="O33">
        <f t="shared" si="2"/>
        <v>792</v>
      </c>
      <c r="P33" t="str">
        <f t="shared" si="3"/>
        <v>Mar</v>
      </c>
      <c r="Q33" t="str">
        <f t="shared" si="4"/>
        <v>Q1</v>
      </c>
      <c r="R33" t="str">
        <f>IF(COUNTIF(A:A,A33)=1,"New","Repeat")</f>
        <v>New</v>
      </c>
      <c r="S33">
        <f t="shared" si="5"/>
        <v>0</v>
      </c>
      <c r="T33">
        <f t="shared" si="6"/>
        <v>377</v>
      </c>
      <c r="U33">
        <f t="shared" si="7"/>
        <v>0.1</v>
      </c>
      <c r="V33">
        <f>_xlfn.XLOOKUP(I33,Product_Table!A:A,Product_Table!B:B)</f>
        <v>1300</v>
      </c>
      <c r="W33">
        <f t="shared" si="8"/>
        <v>1620</v>
      </c>
    </row>
    <row r="34" spans="1:23" ht="22.5" customHeight="1" x14ac:dyDescent="0.25">
      <c r="A34" s="3" t="s">
        <v>175</v>
      </c>
      <c r="B34" s="3" t="s">
        <v>176</v>
      </c>
      <c r="C34" s="3" t="str">
        <f t="shared" ref="C34:C51" si="9">PROPER(TRIM(D34))</f>
        <v>Noida</v>
      </c>
      <c r="D34" s="3" t="s">
        <v>83</v>
      </c>
      <c r="E34" s="5">
        <v>45676</v>
      </c>
      <c r="F34" s="3" t="s">
        <v>177</v>
      </c>
      <c r="G34" s="5">
        <v>46098</v>
      </c>
      <c r="H34" s="3" t="s">
        <v>48</v>
      </c>
      <c r="I34" s="3" t="s">
        <v>178</v>
      </c>
      <c r="J34" s="3">
        <v>6</v>
      </c>
      <c r="K34" s="3">
        <v>500</v>
      </c>
      <c r="L34" s="3">
        <v>3000</v>
      </c>
      <c r="M34" s="3" t="s">
        <v>55</v>
      </c>
      <c r="N34">
        <f t="shared" si="1"/>
        <v>400</v>
      </c>
      <c r="O34">
        <f t="shared" si="2"/>
        <v>540</v>
      </c>
      <c r="P34" t="str">
        <f t="shared" si="3"/>
        <v>Mar</v>
      </c>
      <c r="Q34" t="str">
        <f t="shared" si="4"/>
        <v>Q1</v>
      </c>
      <c r="R34" t="str">
        <f>IF(COUNTIF(A:A,A34)=1,"New","Repeat")</f>
        <v>New</v>
      </c>
      <c r="S34">
        <f t="shared" si="5"/>
        <v>0</v>
      </c>
      <c r="T34">
        <f t="shared" si="6"/>
        <v>422</v>
      </c>
      <c r="U34">
        <f t="shared" si="7"/>
        <v>0.1</v>
      </c>
      <c r="V34">
        <f>_xlfn.XLOOKUP(I34,Product_Table!A:A,Product_Table!B:B)</f>
        <v>1100</v>
      </c>
      <c r="W34">
        <f t="shared" si="8"/>
        <v>-3240</v>
      </c>
    </row>
    <row r="35" spans="1:23" ht="22.5" customHeight="1" x14ac:dyDescent="0.25">
      <c r="A35" s="3" t="s">
        <v>179</v>
      </c>
      <c r="B35" s="3" t="s">
        <v>180</v>
      </c>
      <c r="C35" s="3" t="str">
        <f t="shared" si="9"/>
        <v>Kolkata</v>
      </c>
      <c r="D35" s="3" t="s">
        <v>68</v>
      </c>
      <c r="E35" s="5">
        <v>45700</v>
      </c>
      <c r="F35" s="3" t="s">
        <v>181</v>
      </c>
      <c r="G35" s="5">
        <v>46098</v>
      </c>
      <c r="H35" s="3" t="s">
        <v>37</v>
      </c>
      <c r="I35" s="3" t="s">
        <v>182</v>
      </c>
      <c r="J35" s="3">
        <v>3</v>
      </c>
      <c r="K35" s="3">
        <v>900</v>
      </c>
      <c r="L35" s="3">
        <v>2700</v>
      </c>
      <c r="M35" s="3" t="s">
        <v>18</v>
      </c>
      <c r="N35">
        <f t="shared" si="1"/>
        <v>720</v>
      </c>
      <c r="O35">
        <f t="shared" si="2"/>
        <v>486</v>
      </c>
      <c r="P35" t="str">
        <f t="shared" si="3"/>
        <v>Mar</v>
      </c>
      <c r="Q35" t="str">
        <f t="shared" si="4"/>
        <v>Q1</v>
      </c>
      <c r="R35" t="str">
        <f>IF(COUNTIF(A:A,A35)=1,"New","Repeat")</f>
        <v>New</v>
      </c>
      <c r="S35">
        <f t="shared" si="5"/>
        <v>0</v>
      </c>
      <c r="T35">
        <f t="shared" si="6"/>
        <v>398</v>
      </c>
      <c r="U35">
        <f t="shared" si="7"/>
        <v>0.1</v>
      </c>
      <c r="V35">
        <f>_xlfn.XLOOKUP(I35,Product_Table!A:A,Product_Table!B:B)</f>
        <v>4500</v>
      </c>
      <c r="W35">
        <f t="shared" si="8"/>
        <v>-9720</v>
      </c>
    </row>
    <row r="36" spans="1:23" ht="22.5" customHeight="1" x14ac:dyDescent="0.25">
      <c r="A36" s="3" t="s">
        <v>183</v>
      </c>
      <c r="B36" s="3" t="s">
        <v>184</v>
      </c>
      <c r="C36" s="3" t="str">
        <f t="shared" si="9"/>
        <v>Pune</v>
      </c>
      <c r="D36" s="3" t="s">
        <v>35</v>
      </c>
      <c r="E36" s="5">
        <v>45665</v>
      </c>
      <c r="F36" s="3" t="s">
        <v>185</v>
      </c>
      <c r="G36" s="5">
        <v>46099</v>
      </c>
      <c r="H36" s="3" t="s">
        <v>16</v>
      </c>
      <c r="I36" s="3" t="s">
        <v>186</v>
      </c>
      <c r="J36" s="3">
        <v>1</v>
      </c>
      <c r="K36" s="3">
        <v>4500</v>
      </c>
      <c r="L36" s="3">
        <v>4500</v>
      </c>
      <c r="M36" s="3" t="s">
        <v>25</v>
      </c>
      <c r="N36">
        <f t="shared" si="1"/>
        <v>3600</v>
      </c>
      <c r="O36">
        <f t="shared" si="2"/>
        <v>810</v>
      </c>
      <c r="P36" t="str">
        <f t="shared" si="3"/>
        <v>Mar</v>
      </c>
      <c r="Q36" t="str">
        <f t="shared" si="4"/>
        <v>Q1</v>
      </c>
      <c r="R36" t="str">
        <f>IF(COUNTIF(A:A,A36)=1,"New","Repeat")</f>
        <v>New</v>
      </c>
      <c r="S36">
        <f t="shared" si="5"/>
        <v>0</v>
      </c>
      <c r="T36">
        <f t="shared" si="6"/>
        <v>434</v>
      </c>
      <c r="U36">
        <f t="shared" si="7"/>
        <v>0.1</v>
      </c>
      <c r="V36">
        <f>_xlfn.XLOOKUP(I36,Product_Table!A:A,Product_Table!B:B)</f>
        <v>22400</v>
      </c>
      <c r="W36">
        <f t="shared" si="8"/>
        <v>-16110</v>
      </c>
    </row>
    <row r="37" spans="1:23" ht="22.5" customHeight="1" x14ac:dyDescent="0.25">
      <c r="A37" s="3" t="s">
        <v>187</v>
      </c>
      <c r="B37" s="3" t="s">
        <v>188</v>
      </c>
      <c r="C37" s="3" t="str">
        <f t="shared" si="9"/>
        <v>Ahmedabad</v>
      </c>
      <c r="D37" s="3" t="s">
        <v>123</v>
      </c>
      <c r="E37" s="5">
        <v>45717</v>
      </c>
      <c r="F37" s="3" t="s">
        <v>189</v>
      </c>
      <c r="G37" s="5">
        <v>46099</v>
      </c>
      <c r="H37" s="3" t="s">
        <v>30</v>
      </c>
      <c r="I37" s="3" t="s">
        <v>190</v>
      </c>
      <c r="J37" s="3">
        <v>2</v>
      </c>
      <c r="K37" s="3">
        <v>1700</v>
      </c>
      <c r="L37" s="3">
        <v>3400</v>
      </c>
      <c r="M37" s="3" t="s">
        <v>18</v>
      </c>
      <c r="N37">
        <f t="shared" si="1"/>
        <v>1360</v>
      </c>
      <c r="O37">
        <f t="shared" si="2"/>
        <v>612</v>
      </c>
      <c r="P37" t="str">
        <f t="shared" si="3"/>
        <v>Mar</v>
      </c>
      <c r="Q37" t="str">
        <f t="shared" si="4"/>
        <v>Q1</v>
      </c>
      <c r="R37" t="str">
        <f>IF(COUNTIF(A:A,A37)=1,"New","Repeat")</f>
        <v>New</v>
      </c>
      <c r="S37">
        <f t="shared" si="5"/>
        <v>0</v>
      </c>
      <c r="T37">
        <f t="shared" si="6"/>
        <v>382</v>
      </c>
      <c r="U37">
        <f t="shared" si="7"/>
        <v>0.1</v>
      </c>
      <c r="V37">
        <f>_xlfn.XLOOKUP(I37,Product_Table!A:A,Product_Table!B:B)</f>
        <v>4700</v>
      </c>
      <c r="W37">
        <f t="shared" si="8"/>
        <v>-5400</v>
      </c>
    </row>
    <row r="38" spans="1:23" ht="22.5" customHeight="1" x14ac:dyDescent="0.25">
      <c r="A38" s="3" t="s">
        <v>191</v>
      </c>
      <c r="B38" s="3" t="s">
        <v>192</v>
      </c>
      <c r="C38" s="3" t="str">
        <f t="shared" si="9"/>
        <v>Chennai</v>
      </c>
      <c r="D38" s="3" t="s">
        <v>98</v>
      </c>
      <c r="E38" s="5">
        <v>45693</v>
      </c>
      <c r="F38" s="3" t="s">
        <v>193</v>
      </c>
      <c r="G38" s="5">
        <v>46100</v>
      </c>
      <c r="H38" s="3" t="s">
        <v>16</v>
      </c>
      <c r="I38" s="3" t="s">
        <v>194</v>
      </c>
      <c r="J38" s="3">
        <v>3</v>
      </c>
      <c r="K38" s="3">
        <v>1200</v>
      </c>
      <c r="L38" s="3">
        <v>3600</v>
      </c>
      <c r="M38" s="3" t="s">
        <v>55</v>
      </c>
      <c r="N38">
        <f t="shared" si="1"/>
        <v>960</v>
      </c>
      <c r="O38">
        <f t="shared" si="2"/>
        <v>648</v>
      </c>
      <c r="P38" t="str">
        <f t="shared" si="3"/>
        <v>Mar</v>
      </c>
      <c r="Q38" t="str">
        <f t="shared" si="4"/>
        <v>Q1</v>
      </c>
      <c r="R38" t="str">
        <f>IF(COUNTIF(A:A,A38)=1,"New","Repeat")</f>
        <v>New</v>
      </c>
      <c r="S38">
        <f t="shared" si="5"/>
        <v>0</v>
      </c>
      <c r="T38">
        <f t="shared" si="6"/>
        <v>407</v>
      </c>
      <c r="U38">
        <f t="shared" si="7"/>
        <v>0.1</v>
      </c>
      <c r="V38">
        <f>_xlfn.XLOOKUP(I38,Product_Table!A:A,Product_Table!B:B)</f>
        <v>4800</v>
      </c>
      <c r="W38">
        <f t="shared" si="8"/>
        <v>-9720</v>
      </c>
    </row>
    <row r="39" spans="1:23" ht="22.5" customHeight="1" x14ac:dyDescent="0.25">
      <c r="A39" s="3" t="s">
        <v>195</v>
      </c>
      <c r="B39" s="3" t="s">
        <v>196</v>
      </c>
      <c r="C39" s="3" t="str">
        <f t="shared" si="9"/>
        <v>Chandigarh</v>
      </c>
      <c r="D39" s="3" t="s">
        <v>63</v>
      </c>
      <c r="E39" s="5">
        <v>45683</v>
      </c>
      <c r="F39" s="3" t="s">
        <v>197</v>
      </c>
      <c r="G39" s="5">
        <v>46100</v>
      </c>
      <c r="H39" s="3" t="s">
        <v>23</v>
      </c>
      <c r="I39" s="3" t="s">
        <v>198</v>
      </c>
      <c r="J39" s="3">
        <v>2</v>
      </c>
      <c r="K39" s="3">
        <v>2500</v>
      </c>
      <c r="L39" s="3">
        <v>5000</v>
      </c>
      <c r="M39" s="3" t="s">
        <v>25</v>
      </c>
      <c r="N39">
        <f t="shared" si="1"/>
        <v>2000</v>
      </c>
      <c r="O39">
        <f t="shared" si="2"/>
        <v>900</v>
      </c>
      <c r="P39" t="str">
        <f t="shared" si="3"/>
        <v>Mar</v>
      </c>
      <c r="Q39" t="str">
        <f t="shared" si="4"/>
        <v>Q1</v>
      </c>
      <c r="R39" t="str">
        <f>IF(COUNTIF(A:A,A39)=1,"New","Repeat")</f>
        <v>New</v>
      </c>
      <c r="S39">
        <f t="shared" si="5"/>
        <v>0</v>
      </c>
      <c r="T39">
        <f t="shared" si="6"/>
        <v>417</v>
      </c>
      <c r="U39">
        <f t="shared" si="7"/>
        <v>0.1</v>
      </c>
      <c r="V39">
        <f>_xlfn.XLOOKUP(I39,Product_Table!A:A,Product_Table!B:B)</f>
        <v>1100</v>
      </c>
      <c r="W39">
        <f t="shared" si="8"/>
        <v>2520</v>
      </c>
    </row>
    <row r="40" spans="1:23" ht="22.5" customHeight="1" x14ac:dyDescent="0.25">
      <c r="A40" s="3" t="s">
        <v>199</v>
      </c>
      <c r="B40" s="3" t="s">
        <v>200</v>
      </c>
      <c r="C40" s="3" t="str">
        <f t="shared" si="9"/>
        <v>Shimla</v>
      </c>
      <c r="D40" s="3" t="s">
        <v>201</v>
      </c>
      <c r="E40" s="5">
        <v>45706</v>
      </c>
      <c r="F40" s="3" t="s">
        <v>202</v>
      </c>
      <c r="G40" s="5">
        <v>46101</v>
      </c>
      <c r="H40" s="3" t="s">
        <v>48</v>
      </c>
      <c r="I40" s="3" t="s">
        <v>203</v>
      </c>
      <c r="J40" s="3">
        <v>5</v>
      </c>
      <c r="K40" s="3">
        <v>700</v>
      </c>
      <c r="L40" s="3">
        <v>3500</v>
      </c>
      <c r="M40" s="3" t="s">
        <v>18</v>
      </c>
      <c r="N40">
        <f t="shared" si="1"/>
        <v>560</v>
      </c>
      <c r="O40">
        <f t="shared" si="2"/>
        <v>630</v>
      </c>
      <c r="P40" t="str">
        <f t="shared" si="3"/>
        <v>Mar</v>
      </c>
      <c r="Q40" t="str">
        <f t="shared" si="4"/>
        <v>Q1</v>
      </c>
      <c r="R40" t="str">
        <f>IF(COUNTIF(A:A,A40)=1,"New","Repeat")</f>
        <v>New</v>
      </c>
      <c r="S40">
        <f t="shared" si="5"/>
        <v>0</v>
      </c>
      <c r="T40">
        <f t="shared" si="6"/>
        <v>395</v>
      </c>
      <c r="U40">
        <f t="shared" si="7"/>
        <v>0.1</v>
      </c>
      <c r="V40">
        <f>_xlfn.XLOOKUP(I40,Product_Table!A:A,Product_Table!B:B)</f>
        <v>5000</v>
      </c>
      <c r="W40">
        <f t="shared" si="8"/>
        <v>-19350</v>
      </c>
    </row>
    <row r="41" spans="1:23" ht="22.5" customHeight="1" x14ac:dyDescent="0.25">
      <c r="A41" s="3" t="s">
        <v>204</v>
      </c>
      <c r="B41" s="3" t="s">
        <v>205</v>
      </c>
      <c r="C41" s="3" t="str">
        <f t="shared" si="9"/>
        <v>Guwahati</v>
      </c>
      <c r="D41" s="3" t="s">
        <v>206</v>
      </c>
      <c r="E41" s="5">
        <v>45724</v>
      </c>
      <c r="F41" s="3" t="s">
        <v>207</v>
      </c>
      <c r="G41" s="5">
        <v>46101</v>
      </c>
      <c r="H41" s="3" t="s">
        <v>30</v>
      </c>
      <c r="I41" s="3" t="s">
        <v>208</v>
      </c>
      <c r="J41" s="3">
        <v>1</v>
      </c>
      <c r="K41" s="3">
        <v>9000</v>
      </c>
      <c r="L41" s="3">
        <v>9000</v>
      </c>
      <c r="M41" s="3" t="s">
        <v>32</v>
      </c>
      <c r="N41">
        <f t="shared" si="1"/>
        <v>7200</v>
      </c>
      <c r="O41">
        <f t="shared" si="2"/>
        <v>1620</v>
      </c>
      <c r="P41" t="str">
        <f t="shared" si="3"/>
        <v>Mar</v>
      </c>
      <c r="Q41" t="str">
        <f t="shared" si="4"/>
        <v>Q1</v>
      </c>
      <c r="R41" t="str">
        <f>IF(COUNTIF(A:A,A41)=1,"New","Repeat")</f>
        <v>New</v>
      </c>
      <c r="S41">
        <f t="shared" si="5"/>
        <v>1</v>
      </c>
      <c r="T41">
        <f t="shared" si="6"/>
        <v>377</v>
      </c>
      <c r="U41">
        <f t="shared" si="7"/>
        <v>0.2</v>
      </c>
      <c r="V41">
        <f>_xlfn.XLOOKUP(I41,Product_Table!A:A,Product_Table!B:B)</f>
        <v>8000</v>
      </c>
      <c r="W41">
        <f t="shared" si="8"/>
        <v>800</v>
      </c>
    </row>
    <row r="42" spans="1:23" ht="22.5" customHeight="1" x14ac:dyDescent="0.25">
      <c r="A42" s="3" t="s">
        <v>209</v>
      </c>
      <c r="B42" s="3" t="s">
        <v>210</v>
      </c>
      <c r="C42" s="3" t="str">
        <f t="shared" si="9"/>
        <v>Agra</v>
      </c>
      <c r="D42" s="3" t="s">
        <v>211</v>
      </c>
      <c r="E42" s="5">
        <v>45669</v>
      </c>
      <c r="F42" s="3" t="s">
        <v>212</v>
      </c>
      <c r="G42" s="5">
        <v>46102</v>
      </c>
      <c r="H42" s="3" t="s">
        <v>16</v>
      </c>
      <c r="I42" s="3" t="s">
        <v>213</v>
      </c>
      <c r="J42" s="3">
        <v>1</v>
      </c>
      <c r="K42" s="3">
        <v>8000</v>
      </c>
      <c r="L42" s="3">
        <v>8000</v>
      </c>
      <c r="M42" s="3" t="s">
        <v>25</v>
      </c>
      <c r="N42">
        <f t="shared" si="1"/>
        <v>6400</v>
      </c>
      <c r="O42">
        <f t="shared" si="2"/>
        <v>1440</v>
      </c>
      <c r="P42" t="str">
        <f t="shared" si="3"/>
        <v>Mar</v>
      </c>
      <c r="Q42" t="str">
        <f t="shared" si="4"/>
        <v>Q1</v>
      </c>
      <c r="R42" t="str">
        <f>IF(COUNTIF(A:A,A42)=1,"New","Repeat")</f>
        <v>New</v>
      </c>
      <c r="S42">
        <f t="shared" si="5"/>
        <v>1</v>
      </c>
      <c r="T42">
        <f t="shared" si="6"/>
        <v>433</v>
      </c>
      <c r="U42">
        <f t="shared" si="7"/>
        <v>0.2</v>
      </c>
      <c r="V42">
        <f>_xlfn.XLOOKUP(I42,Product_Table!A:A,Product_Table!B:B)</f>
        <v>4000</v>
      </c>
      <c r="W42">
        <f t="shared" si="8"/>
        <v>3200</v>
      </c>
    </row>
    <row r="43" spans="1:23" ht="22.5" customHeight="1" x14ac:dyDescent="0.25">
      <c r="A43" s="3" t="s">
        <v>214</v>
      </c>
      <c r="B43" s="3" t="s">
        <v>215</v>
      </c>
      <c r="C43" s="3" t="str">
        <f t="shared" si="9"/>
        <v>Aligarh</v>
      </c>
      <c r="D43" s="3" t="s">
        <v>216</v>
      </c>
      <c r="E43" s="5">
        <v>45704</v>
      </c>
      <c r="F43" s="3" t="s">
        <v>217</v>
      </c>
      <c r="G43" s="5">
        <v>46102</v>
      </c>
      <c r="H43" s="3" t="s">
        <v>37</v>
      </c>
      <c r="I43" s="3" t="s">
        <v>218</v>
      </c>
      <c r="J43" s="3">
        <v>4</v>
      </c>
      <c r="K43" s="3">
        <v>700</v>
      </c>
      <c r="L43" s="3">
        <v>2800</v>
      </c>
      <c r="M43" s="3" t="s">
        <v>18</v>
      </c>
      <c r="N43">
        <f t="shared" si="1"/>
        <v>560</v>
      </c>
      <c r="O43">
        <f t="shared" si="2"/>
        <v>504</v>
      </c>
      <c r="P43" t="str">
        <f t="shared" si="3"/>
        <v>Mar</v>
      </c>
      <c r="Q43" t="str">
        <f t="shared" si="4"/>
        <v>Q1</v>
      </c>
      <c r="R43" t="str">
        <f>IF(COUNTIF(A:A,A43)=1,"New","Repeat")</f>
        <v>New</v>
      </c>
      <c r="S43">
        <f t="shared" si="5"/>
        <v>0</v>
      </c>
      <c r="T43">
        <f t="shared" si="6"/>
        <v>398</v>
      </c>
      <c r="U43">
        <f t="shared" si="7"/>
        <v>0.1</v>
      </c>
      <c r="V43">
        <f>_xlfn.XLOOKUP(I43,Product_Table!A:A,Product_Table!B:B)</f>
        <v>4000</v>
      </c>
      <c r="W43">
        <f t="shared" si="8"/>
        <v>-11880</v>
      </c>
    </row>
    <row r="44" spans="1:23" ht="22.5" customHeight="1" x14ac:dyDescent="0.25">
      <c r="A44" s="3" t="s">
        <v>219</v>
      </c>
      <c r="B44" s="3" t="s">
        <v>220</v>
      </c>
      <c r="C44" s="3" t="str">
        <f t="shared" si="9"/>
        <v>Bhubaneswar</v>
      </c>
      <c r="D44" s="3" t="s">
        <v>221</v>
      </c>
      <c r="E44" s="5">
        <v>45725</v>
      </c>
      <c r="F44" s="3" t="s">
        <v>222</v>
      </c>
      <c r="G44" s="5">
        <v>46103</v>
      </c>
      <c r="H44" s="3" t="s">
        <v>23</v>
      </c>
      <c r="I44" s="3" t="s">
        <v>223</v>
      </c>
      <c r="J44" s="3">
        <v>1</v>
      </c>
      <c r="K44" s="3">
        <v>3800</v>
      </c>
      <c r="L44" s="3">
        <v>3800</v>
      </c>
      <c r="M44" s="3" t="s">
        <v>55</v>
      </c>
      <c r="N44">
        <f t="shared" si="1"/>
        <v>3040</v>
      </c>
      <c r="O44">
        <f t="shared" si="2"/>
        <v>684</v>
      </c>
      <c r="P44" t="str">
        <f t="shared" si="3"/>
        <v>Mar</v>
      </c>
      <c r="Q44" t="str">
        <f t="shared" si="4"/>
        <v>Q1</v>
      </c>
      <c r="R44" t="str">
        <f>IF(COUNTIF(A:A,A44)=1,"New","Repeat")</f>
        <v>New</v>
      </c>
      <c r="S44">
        <f t="shared" si="5"/>
        <v>0</v>
      </c>
      <c r="T44">
        <f t="shared" si="6"/>
        <v>378</v>
      </c>
      <c r="U44">
        <f t="shared" si="7"/>
        <v>0.1</v>
      </c>
      <c r="V44">
        <f>_xlfn.XLOOKUP(I44,Product_Table!A:A,Product_Table!B:B)</f>
        <v>1200</v>
      </c>
      <c r="W44">
        <f t="shared" si="8"/>
        <v>2340</v>
      </c>
    </row>
    <row r="45" spans="1:23" ht="22.5" customHeight="1" x14ac:dyDescent="0.25">
      <c r="A45" s="3" t="s">
        <v>224</v>
      </c>
      <c r="B45" s="3" t="s">
        <v>225</v>
      </c>
      <c r="C45" s="3" t="str">
        <f t="shared" si="9"/>
        <v>Jalandhar</v>
      </c>
      <c r="D45" s="3" t="s">
        <v>226</v>
      </c>
      <c r="E45" s="5">
        <v>45688</v>
      </c>
      <c r="F45" s="3" t="s">
        <v>227</v>
      </c>
      <c r="G45" s="5">
        <v>46103</v>
      </c>
      <c r="H45" s="3" t="s">
        <v>30</v>
      </c>
      <c r="I45" s="3" t="s">
        <v>228</v>
      </c>
      <c r="J45" s="3">
        <v>2</v>
      </c>
      <c r="K45" s="3">
        <v>2000</v>
      </c>
      <c r="L45" s="3">
        <v>4000</v>
      </c>
      <c r="M45" s="3" t="s">
        <v>25</v>
      </c>
      <c r="N45">
        <f t="shared" si="1"/>
        <v>1600</v>
      </c>
      <c r="O45">
        <f t="shared" si="2"/>
        <v>720</v>
      </c>
      <c r="P45" t="str">
        <f t="shared" si="3"/>
        <v>Mar</v>
      </c>
      <c r="Q45" t="str">
        <f t="shared" si="4"/>
        <v>Q1</v>
      </c>
      <c r="R45" t="str">
        <f>IF(COUNTIF(A:A,A45)=1,"New","Repeat")</f>
        <v>New</v>
      </c>
      <c r="S45">
        <f t="shared" si="5"/>
        <v>0</v>
      </c>
      <c r="T45">
        <f t="shared" si="6"/>
        <v>415</v>
      </c>
      <c r="U45">
        <f t="shared" si="7"/>
        <v>0.1</v>
      </c>
      <c r="V45">
        <f>_xlfn.XLOOKUP(I45,Product_Table!A:A,Product_Table!B:B)</f>
        <v>4800</v>
      </c>
      <c r="W45">
        <f t="shared" si="8"/>
        <v>-5040</v>
      </c>
    </row>
    <row r="46" spans="1:23" ht="22.5" customHeight="1" x14ac:dyDescent="0.25">
      <c r="A46" s="3" t="s">
        <v>229</v>
      </c>
      <c r="B46" s="3" t="s">
        <v>230</v>
      </c>
      <c r="C46" s="3" t="str">
        <f t="shared" si="9"/>
        <v>Nagpur</v>
      </c>
      <c r="D46" s="3" t="s">
        <v>231</v>
      </c>
      <c r="E46" s="5">
        <v>45695</v>
      </c>
      <c r="F46" s="3" t="s">
        <v>232</v>
      </c>
      <c r="G46" s="5">
        <v>46104</v>
      </c>
      <c r="H46" s="3" t="s">
        <v>16</v>
      </c>
      <c r="I46" s="3" t="s">
        <v>233</v>
      </c>
      <c r="J46" s="3">
        <v>1</v>
      </c>
      <c r="K46" s="3">
        <v>11000</v>
      </c>
      <c r="L46" s="3">
        <v>11000</v>
      </c>
      <c r="M46" s="3" t="s">
        <v>18</v>
      </c>
      <c r="N46">
        <f t="shared" si="1"/>
        <v>8800</v>
      </c>
      <c r="O46">
        <f t="shared" si="2"/>
        <v>1980</v>
      </c>
      <c r="P46" t="str">
        <f t="shared" si="3"/>
        <v>Mar</v>
      </c>
      <c r="Q46" t="str">
        <f t="shared" si="4"/>
        <v>Q1</v>
      </c>
      <c r="R46" t="str">
        <f>IF(COUNTIF(A:A,A46)=1,"New","Repeat")</f>
        <v>New</v>
      </c>
      <c r="S46">
        <f t="shared" si="5"/>
        <v>1</v>
      </c>
      <c r="T46">
        <f t="shared" si="6"/>
        <v>409</v>
      </c>
      <c r="U46">
        <f t="shared" si="7"/>
        <v>0.2</v>
      </c>
      <c r="V46">
        <f>_xlfn.XLOOKUP(I46,Product_Table!A:A,Product_Table!B:B)</f>
        <v>4500</v>
      </c>
      <c r="W46">
        <f t="shared" si="8"/>
        <v>5200</v>
      </c>
    </row>
    <row r="47" spans="1:23" ht="22.5" customHeight="1" x14ac:dyDescent="0.25">
      <c r="A47" s="3" t="s">
        <v>234</v>
      </c>
      <c r="B47" s="3" t="s">
        <v>235</v>
      </c>
      <c r="C47" s="3" t="str">
        <f t="shared" si="9"/>
        <v>Bhopal</v>
      </c>
      <c r="D47" s="3" t="s">
        <v>138</v>
      </c>
      <c r="E47" s="5">
        <v>45723</v>
      </c>
      <c r="F47" s="3" t="s">
        <v>236</v>
      </c>
      <c r="G47" s="5">
        <v>46104</v>
      </c>
      <c r="H47" s="3" t="s">
        <v>48</v>
      </c>
      <c r="I47" s="3" t="s">
        <v>237</v>
      </c>
      <c r="J47" s="3">
        <v>4</v>
      </c>
      <c r="K47" s="3">
        <v>1000</v>
      </c>
      <c r="L47" s="3">
        <v>4000</v>
      </c>
      <c r="M47" s="3" t="s">
        <v>55</v>
      </c>
      <c r="N47">
        <f t="shared" si="1"/>
        <v>800</v>
      </c>
      <c r="O47">
        <f t="shared" si="2"/>
        <v>720</v>
      </c>
      <c r="P47" t="str">
        <f t="shared" si="3"/>
        <v>Mar</v>
      </c>
      <c r="Q47" t="str">
        <f t="shared" si="4"/>
        <v>Q1</v>
      </c>
      <c r="R47" t="str">
        <f>IF(COUNTIF(A:A,A47)=1,"New","Repeat")</f>
        <v>New</v>
      </c>
      <c r="S47">
        <f t="shared" si="5"/>
        <v>0</v>
      </c>
      <c r="T47">
        <f t="shared" si="6"/>
        <v>381</v>
      </c>
      <c r="U47">
        <f t="shared" si="7"/>
        <v>0.1</v>
      </c>
      <c r="V47">
        <f>_xlfn.XLOOKUP(I47,Product_Table!A:A,Product_Table!B:B)</f>
        <v>4800</v>
      </c>
      <c r="W47">
        <f t="shared" si="8"/>
        <v>-13680</v>
      </c>
    </row>
    <row r="48" spans="1:23" ht="22.5" customHeight="1" x14ac:dyDescent="0.25">
      <c r="A48" s="3" t="s">
        <v>238</v>
      </c>
      <c r="B48" s="3" t="s">
        <v>239</v>
      </c>
      <c r="C48" s="3" t="str">
        <f t="shared" si="9"/>
        <v>Delhi</v>
      </c>
      <c r="D48" s="3" t="s">
        <v>14</v>
      </c>
      <c r="E48" s="5">
        <v>45678</v>
      </c>
      <c r="F48" s="3" t="s">
        <v>240</v>
      </c>
      <c r="G48" s="5">
        <v>46105</v>
      </c>
      <c r="H48" s="3" t="s">
        <v>16</v>
      </c>
      <c r="I48" s="3" t="s">
        <v>241</v>
      </c>
      <c r="J48" s="3">
        <v>3</v>
      </c>
      <c r="K48" s="3">
        <v>1200</v>
      </c>
      <c r="L48" s="3">
        <v>3600</v>
      </c>
      <c r="M48" s="3" t="s">
        <v>25</v>
      </c>
      <c r="N48">
        <f t="shared" si="1"/>
        <v>960</v>
      </c>
      <c r="O48">
        <f t="shared" si="2"/>
        <v>648</v>
      </c>
      <c r="P48" t="str">
        <f t="shared" si="3"/>
        <v>Mar</v>
      </c>
      <c r="Q48" t="str">
        <f t="shared" si="4"/>
        <v>Q1</v>
      </c>
      <c r="R48" t="str">
        <f>IF(COUNTIF(A:A,A48)=1,"New","Repeat")</f>
        <v>New</v>
      </c>
      <c r="S48">
        <f t="shared" si="5"/>
        <v>0</v>
      </c>
      <c r="T48">
        <f t="shared" si="6"/>
        <v>427</v>
      </c>
      <c r="U48">
        <f t="shared" si="7"/>
        <v>0.1</v>
      </c>
      <c r="V48">
        <f>_xlfn.XLOOKUP(I48,Product_Table!A:A,Product_Table!B:B)</f>
        <v>4200</v>
      </c>
      <c r="W48">
        <f t="shared" si="8"/>
        <v>-8100</v>
      </c>
    </row>
    <row r="49" spans="1:23" ht="22.5" customHeight="1" x14ac:dyDescent="0.25">
      <c r="A49" s="3" t="s">
        <v>242</v>
      </c>
      <c r="B49" s="3" t="s">
        <v>243</v>
      </c>
      <c r="C49" s="3" t="str">
        <f t="shared" si="9"/>
        <v>Gurgaon</v>
      </c>
      <c r="D49" s="3" t="s">
        <v>28</v>
      </c>
      <c r="E49" s="5">
        <v>45701</v>
      </c>
      <c r="F49" s="3" t="s">
        <v>244</v>
      </c>
      <c r="G49" s="5">
        <v>46105</v>
      </c>
      <c r="H49" s="3" t="s">
        <v>23</v>
      </c>
      <c r="I49" s="3" t="s">
        <v>245</v>
      </c>
      <c r="J49" s="3">
        <v>1</v>
      </c>
      <c r="K49" s="3">
        <v>4500</v>
      </c>
      <c r="L49" s="3"/>
      <c r="M49" s="3" t="s">
        <v>18</v>
      </c>
      <c r="N49">
        <f t="shared" si="1"/>
        <v>3600</v>
      </c>
      <c r="O49">
        <f t="shared" si="2"/>
        <v>810</v>
      </c>
      <c r="P49" t="str">
        <f t="shared" si="3"/>
        <v>Mar</v>
      </c>
      <c r="Q49" t="str">
        <f t="shared" si="4"/>
        <v>Q1</v>
      </c>
      <c r="R49" t="str">
        <f>IF(COUNTIF(A:A,A49)=1,"New","Repeat")</f>
        <v>New</v>
      </c>
      <c r="S49">
        <f t="shared" si="5"/>
        <v>0</v>
      </c>
      <c r="T49">
        <f t="shared" si="6"/>
        <v>404</v>
      </c>
      <c r="U49">
        <f t="shared" si="7"/>
        <v>0.1</v>
      </c>
      <c r="V49">
        <f>_xlfn.XLOOKUP(I49,Product_Table!A:A,Product_Table!B:B)</f>
        <v>4400</v>
      </c>
      <c r="W49">
        <f t="shared" si="8"/>
        <v>90</v>
      </c>
    </row>
    <row r="50" spans="1:23" ht="22.5" customHeight="1" x14ac:dyDescent="0.25">
      <c r="A50" s="3" t="s">
        <v>246</v>
      </c>
      <c r="B50" s="3" t="s">
        <v>247</v>
      </c>
      <c r="C50" s="3" t="str">
        <f t="shared" si="9"/>
        <v>Srinagar</v>
      </c>
      <c r="D50" s="3" t="s">
        <v>248</v>
      </c>
      <c r="E50" s="5">
        <v>45726</v>
      </c>
      <c r="F50" s="3" t="s">
        <v>249</v>
      </c>
      <c r="G50" s="5">
        <v>46106</v>
      </c>
      <c r="H50" s="3" t="s">
        <v>30</v>
      </c>
      <c r="I50" s="3" t="s">
        <v>250</v>
      </c>
      <c r="J50" s="3">
        <v>1</v>
      </c>
      <c r="K50" s="3">
        <v>7500</v>
      </c>
      <c r="L50" s="3">
        <v>7500</v>
      </c>
      <c r="M50" s="3" t="s">
        <v>32</v>
      </c>
      <c r="N50">
        <f t="shared" si="1"/>
        <v>6000</v>
      </c>
      <c r="O50">
        <f t="shared" si="2"/>
        <v>1350</v>
      </c>
      <c r="P50" t="str">
        <f t="shared" si="3"/>
        <v>Mar</v>
      </c>
      <c r="Q50" t="str">
        <f t="shared" si="4"/>
        <v>Q1</v>
      </c>
      <c r="R50" t="str">
        <f>IF(COUNTIF(A:A,A50)=1,"New","Repeat")</f>
        <v>New</v>
      </c>
      <c r="S50">
        <f t="shared" si="5"/>
        <v>1</v>
      </c>
      <c r="T50">
        <f t="shared" si="6"/>
        <v>380</v>
      </c>
      <c r="U50">
        <f t="shared" si="7"/>
        <v>0.2</v>
      </c>
      <c r="V50">
        <f>_xlfn.XLOOKUP(I50,Product_Table!A:A,Product_Table!B:B)</f>
        <v>3300</v>
      </c>
      <c r="W50">
        <f t="shared" si="8"/>
        <v>3360</v>
      </c>
    </row>
    <row r="51" spans="1:23" ht="22.5" customHeight="1" x14ac:dyDescent="0.25">
      <c r="A51" s="3" t="s">
        <v>251</v>
      </c>
      <c r="B51" s="3" t="s">
        <v>252</v>
      </c>
      <c r="C51" s="3" t="str">
        <f t="shared" si="9"/>
        <v>Raipur</v>
      </c>
      <c r="D51" s="3" t="s">
        <v>253</v>
      </c>
      <c r="E51" s="5">
        <v>45674</v>
      </c>
      <c r="F51" s="3" t="s">
        <v>254</v>
      </c>
      <c r="G51" s="5">
        <v>46106</v>
      </c>
      <c r="H51" s="3" t="s">
        <v>37</v>
      </c>
      <c r="I51" s="3" t="s">
        <v>255</v>
      </c>
      <c r="J51" s="3">
        <v>2</v>
      </c>
      <c r="K51" s="3">
        <v>2100</v>
      </c>
      <c r="L51" s="3">
        <v>4200</v>
      </c>
      <c r="M51" s="3" t="s">
        <v>25</v>
      </c>
      <c r="N51">
        <f t="shared" si="1"/>
        <v>1680</v>
      </c>
      <c r="O51">
        <f t="shared" si="2"/>
        <v>756</v>
      </c>
      <c r="P51" t="str">
        <f t="shared" si="3"/>
        <v>Mar</v>
      </c>
      <c r="Q51" t="str">
        <f t="shared" si="4"/>
        <v>Q1</v>
      </c>
      <c r="R51" t="str">
        <f>IF(COUNTIF(A:A,A51)=1,"New","Repeat")</f>
        <v>New</v>
      </c>
      <c r="S51">
        <f t="shared" si="5"/>
        <v>0</v>
      </c>
      <c r="T51">
        <f t="shared" si="6"/>
        <v>432</v>
      </c>
      <c r="U51">
        <f t="shared" si="7"/>
        <v>0.1</v>
      </c>
      <c r="V51">
        <f>_xlfn.XLOOKUP(I51,Product_Table!A:A,Product_Table!B:B)</f>
        <v>1200</v>
      </c>
      <c r="W51">
        <f t="shared" si="8"/>
        <v>1620</v>
      </c>
    </row>
    <row r="52" spans="1:23" ht="13.8" x14ac:dyDescent="0.25">
      <c r="A52" s="1"/>
      <c r="B52" s="1"/>
      <c r="C52" s="3" t="str">
        <f>PROPER(TRIM(D52))</f>
        <v/>
      </c>
      <c r="D52" s="1"/>
      <c r="E52" s="6"/>
      <c r="F52" s="1"/>
      <c r="G52" s="6"/>
      <c r="H52" s="1"/>
      <c r="I52" s="1"/>
      <c r="J52" s="1"/>
      <c r="K52" s="1"/>
      <c r="L52" s="1"/>
      <c r="M52" s="1"/>
      <c r="P52" t="str">
        <f>TEXT(G52,"MMM")</f>
        <v>Jan</v>
      </c>
      <c r="Q52" t="str">
        <f>"Q"&amp;INT((MONTH(G52)-1)/3)+1</f>
        <v>Q1</v>
      </c>
      <c r="V52">
        <f>-V54</f>
        <v>1200</v>
      </c>
      <c r="W52">
        <f t="shared" si="8"/>
        <v>0</v>
      </c>
    </row>
    <row r="53" spans="1:23" ht="13.8" x14ac:dyDescent="0.25">
      <c r="A53" s="1"/>
      <c r="B53" s="1"/>
      <c r="C53" s="3" t="str">
        <f>PROPER(TRIM(D53))</f>
        <v/>
      </c>
      <c r="D53" s="1"/>
      <c r="E53" s="6"/>
      <c r="F53" s="1"/>
      <c r="G53" s="6"/>
      <c r="H53" s="1"/>
      <c r="I53" s="1"/>
      <c r="J53" s="1"/>
      <c r="K53" s="1"/>
      <c r="L53" s="1"/>
      <c r="M53" s="1"/>
      <c r="O53">
        <f>(K53-N53)*J53*(1-0.1)</f>
        <v>0</v>
      </c>
      <c r="P53" t="str">
        <f>TEXT(G53,"MMM")</f>
        <v>Jan</v>
      </c>
      <c r="Q53" t="str">
        <f>"Q"&amp;INT((MONTH(G53)-1)/3)+1</f>
        <v>Q1</v>
      </c>
      <c r="W53">
        <f t="shared" si="8"/>
        <v>0</v>
      </c>
    </row>
    <row r="54" spans="1:23" ht="15.75" customHeight="1" x14ac:dyDescent="0.25">
      <c r="A54" s="1"/>
      <c r="B54" s="1"/>
      <c r="C54" s="8" t="str">
        <f>PROPER(TRIM(D54))</f>
        <v/>
      </c>
      <c r="D54" s="1"/>
      <c r="E54" s="6"/>
      <c r="F54" s="1"/>
      <c r="G54" s="6"/>
      <c r="H54" s="1"/>
      <c r="I54" s="1"/>
      <c r="J54" s="1"/>
      <c r="K54" s="1"/>
      <c r="L54" s="1"/>
      <c r="M54" s="1"/>
      <c r="O54">
        <f>(K54-N54)*J54*(1-0.1)</f>
        <v>0</v>
      </c>
      <c r="V54">
        <f>-V51</f>
        <v>-1200</v>
      </c>
      <c r="W54">
        <f>(K54-V54)*J54*(1-U54)</f>
        <v>0</v>
      </c>
    </row>
    <row r="55" spans="1:23" ht="15.75" customHeight="1" x14ac:dyDescent="0.25">
      <c r="A55" s="1"/>
      <c r="B55" s="1"/>
      <c r="C55" s="1"/>
      <c r="D55" s="1"/>
      <c r="E55" s="6"/>
      <c r="F55" s="1"/>
      <c r="G55" s="6"/>
      <c r="H55" s="1"/>
      <c r="I55" s="1"/>
      <c r="J55" s="1"/>
      <c r="K55" s="1"/>
      <c r="L55" s="1"/>
      <c r="M55" s="1"/>
    </row>
  </sheetData>
  <phoneticPr fontId="4" type="noConversion"/>
  <conditionalFormatting sqref="D2:D54">
    <cfRule type="containsBlanks" dxfId="1" priority="4">
      <formula>LEN(TRIM(D2))=0</formula>
    </cfRule>
  </conditionalFormatting>
  <conditionalFormatting sqref="L1:L1048576">
    <cfRule type="cellIs" dxfId="0" priority="1" operator="greaterThan">
      <formula>5000</formula>
    </cfRule>
    <cfRule type="cellIs" priority="3" operator="greaterThan">
      <formula>5000</formula>
    </cfRule>
  </conditionalFormatting>
  <dataValidations count="4">
    <dataValidation type="list" allowBlank="1" showDropDown="1" showErrorMessage="1" sqref="H2:H54" xr:uid="{00000000-0002-0000-0000-000000000000}">
      <formula1>"Electronics,Fashion,Home,Beauty,Grocery"</formula1>
    </dataValidation>
    <dataValidation type="custom" allowBlank="1" showDropDown="1" sqref="G2:G54 E2:E54" xr:uid="{00000000-0002-0000-0000-000001000000}">
      <formula1>OR(NOT(ISERROR(DATEVALUE(E2))), AND(ISNUMBER(E2), LEFT(CELL("format", E2))="D"))</formula1>
    </dataValidation>
    <dataValidation type="custom" allowBlank="1" showDropDown="1" sqref="J2:L54" xr:uid="{00000000-0002-0000-0000-000002000000}">
      <formula1>AND(ISNUMBER(J2),(NOT(OR(NOT(ISERROR(DATEVALUE(J2))), AND(ISNUMBER(J2), LEFT(CELL("format", J2))="D")))))</formula1>
    </dataValidation>
    <dataValidation type="list" allowBlank="1" showDropDown="1" showErrorMessage="1" sqref="M2:M54" xr:uid="{00000000-0002-0000-0000-000003000000}">
      <formula1>"UPI,Card,Net Banking,Wallet"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F8C8-F56F-41EB-9A4F-AB3FBF11ED84}">
  <dimension ref="A1:B52"/>
  <sheetViews>
    <sheetView workbookViewId="0">
      <selection activeCell="B1" sqref="B1"/>
    </sheetView>
  </sheetViews>
  <sheetFormatPr defaultRowHeight="13.2" x14ac:dyDescent="0.25"/>
  <cols>
    <col min="1" max="1" width="17.6640625" customWidth="1"/>
    <col min="2" max="2" width="12.6640625"/>
  </cols>
  <sheetData>
    <row r="1" spans="1:2" ht="13.8" x14ac:dyDescent="0.25">
      <c r="A1" s="2" t="s">
        <v>7</v>
      </c>
      <c r="B1" s="14" t="s">
        <v>260</v>
      </c>
    </row>
    <row r="2" spans="1:2" ht="13.8" x14ac:dyDescent="0.25">
      <c r="A2" s="3" t="s">
        <v>17</v>
      </c>
      <c r="B2">
        <v>40000</v>
      </c>
    </row>
    <row r="3" spans="1:2" ht="13.8" x14ac:dyDescent="0.25">
      <c r="A3" s="3" t="s">
        <v>24</v>
      </c>
      <c r="B3">
        <v>5000</v>
      </c>
    </row>
    <row r="4" spans="1:2" ht="13.8" x14ac:dyDescent="0.25">
      <c r="A4" s="3" t="s">
        <v>31</v>
      </c>
      <c r="B4">
        <v>2000</v>
      </c>
    </row>
    <row r="5" spans="1:2" ht="13.8" x14ac:dyDescent="0.25">
      <c r="A5" s="3" t="s">
        <v>38</v>
      </c>
      <c r="B5">
        <v>5000</v>
      </c>
    </row>
    <row r="6" spans="1:2" ht="13.8" x14ac:dyDescent="0.25">
      <c r="A6" s="3" t="s">
        <v>43</v>
      </c>
      <c r="B6">
        <v>6000</v>
      </c>
    </row>
    <row r="7" spans="1:2" ht="13.8" x14ac:dyDescent="0.25">
      <c r="A7" s="3" t="s">
        <v>49</v>
      </c>
      <c r="B7">
        <v>4000</v>
      </c>
    </row>
    <row r="8" spans="1:2" ht="13.8" x14ac:dyDescent="0.25">
      <c r="A8" s="3" t="s">
        <v>54</v>
      </c>
      <c r="B8">
        <v>6000</v>
      </c>
    </row>
    <row r="9" spans="1:2" ht="13.8" x14ac:dyDescent="0.25">
      <c r="A9" s="3" t="s">
        <v>60</v>
      </c>
      <c r="B9">
        <v>1000</v>
      </c>
    </row>
    <row r="10" spans="1:2" ht="13.8" x14ac:dyDescent="0.25">
      <c r="A10" s="3" t="s">
        <v>65</v>
      </c>
      <c r="B10">
        <v>500</v>
      </c>
    </row>
    <row r="11" spans="1:2" ht="13.8" x14ac:dyDescent="0.25">
      <c r="A11" s="3" t="s">
        <v>70</v>
      </c>
      <c r="B11">
        <v>3000</v>
      </c>
    </row>
    <row r="12" spans="1:2" ht="13.8" x14ac:dyDescent="0.25">
      <c r="A12" s="3" t="s">
        <v>75</v>
      </c>
      <c r="B12">
        <v>4500</v>
      </c>
    </row>
    <row r="13" spans="1:2" ht="13.8" x14ac:dyDescent="0.25">
      <c r="A13" s="3" t="s">
        <v>80</v>
      </c>
      <c r="B13">
        <v>2200</v>
      </c>
    </row>
    <row r="14" spans="1:2" ht="13.8" x14ac:dyDescent="0.25">
      <c r="A14" s="3" t="s">
        <v>85</v>
      </c>
      <c r="B14">
        <v>5400</v>
      </c>
    </row>
    <row r="15" spans="1:2" ht="13.8" x14ac:dyDescent="0.25">
      <c r="A15" s="3" t="s">
        <v>90</v>
      </c>
      <c r="B15">
        <v>6000</v>
      </c>
    </row>
    <row r="16" spans="1:2" ht="13.8" x14ac:dyDescent="0.25">
      <c r="A16" s="3" t="s">
        <v>95</v>
      </c>
      <c r="B16">
        <v>7800</v>
      </c>
    </row>
    <row r="17" spans="1:2" ht="13.8" x14ac:dyDescent="0.25">
      <c r="A17" s="3" t="s">
        <v>100</v>
      </c>
      <c r="B17">
        <v>2000</v>
      </c>
    </row>
    <row r="18" spans="1:2" ht="13.8" x14ac:dyDescent="0.25">
      <c r="A18" s="3" t="s">
        <v>105</v>
      </c>
      <c r="B18">
        <v>1000</v>
      </c>
    </row>
    <row r="19" spans="1:2" ht="13.8" x14ac:dyDescent="0.25">
      <c r="A19" s="3" t="s">
        <v>110</v>
      </c>
      <c r="B19">
        <v>1100</v>
      </c>
    </row>
    <row r="20" spans="1:2" ht="13.8" x14ac:dyDescent="0.25">
      <c r="A20" s="3" t="s">
        <v>115</v>
      </c>
      <c r="B20">
        <v>5000</v>
      </c>
    </row>
    <row r="21" spans="1:2" ht="13.8" x14ac:dyDescent="0.25">
      <c r="A21" s="3" t="s">
        <v>120</v>
      </c>
      <c r="B21">
        <v>4000</v>
      </c>
    </row>
    <row r="22" spans="1:2" ht="13.8" x14ac:dyDescent="0.25">
      <c r="A22" s="3" t="s">
        <v>125</v>
      </c>
      <c r="B22">
        <v>1000</v>
      </c>
    </row>
    <row r="23" spans="1:2" ht="13.8" x14ac:dyDescent="0.25">
      <c r="A23" s="3" t="s">
        <v>130</v>
      </c>
      <c r="B23">
        <v>1000</v>
      </c>
    </row>
    <row r="24" spans="1:2" ht="13.8" x14ac:dyDescent="0.25">
      <c r="A24" s="3" t="s">
        <v>135</v>
      </c>
      <c r="B24">
        <v>2000</v>
      </c>
    </row>
    <row r="25" spans="1:2" ht="13.8" x14ac:dyDescent="0.25">
      <c r="A25" s="3" t="s">
        <v>140</v>
      </c>
      <c r="B25">
        <v>2100</v>
      </c>
    </row>
    <row r="26" spans="1:2" ht="13.8" x14ac:dyDescent="0.25">
      <c r="A26" s="3" t="s">
        <v>145</v>
      </c>
      <c r="B26">
        <v>3100</v>
      </c>
    </row>
    <row r="27" spans="1:2" ht="13.8" x14ac:dyDescent="0.25">
      <c r="A27" s="3" t="s">
        <v>149</v>
      </c>
      <c r="B27">
        <v>1400</v>
      </c>
    </row>
    <row r="28" spans="1:2" ht="13.8" x14ac:dyDescent="0.25">
      <c r="A28" s="3" t="s">
        <v>154</v>
      </c>
      <c r="B28">
        <v>1500</v>
      </c>
    </row>
    <row r="29" spans="1:2" ht="13.8" x14ac:dyDescent="0.25">
      <c r="A29" s="3" t="s">
        <v>158</v>
      </c>
      <c r="B29">
        <v>1400</v>
      </c>
    </row>
    <row r="30" spans="1:2" ht="13.8" x14ac:dyDescent="0.25">
      <c r="A30" s="3" t="s">
        <v>162</v>
      </c>
      <c r="B30">
        <v>1700</v>
      </c>
    </row>
    <row r="31" spans="1:2" ht="13.8" x14ac:dyDescent="0.25">
      <c r="A31" s="3" t="s">
        <v>166</v>
      </c>
      <c r="B31">
        <v>1800</v>
      </c>
    </row>
    <row r="32" spans="1:2" ht="13.8" x14ac:dyDescent="0.25">
      <c r="A32" s="3" t="s">
        <v>170</v>
      </c>
      <c r="B32">
        <v>1400</v>
      </c>
    </row>
    <row r="33" spans="1:2" ht="13.8" x14ac:dyDescent="0.25">
      <c r="A33" s="3" t="s">
        <v>174</v>
      </c>
      <c r="B33">
        <v>1300</v>
      </c>
    </row>
    <row r="34" spans="1:2" ht="13.8" x14ac:dyDescent="0.25">
      <c r="A34" s="3" t="s">
        <v>178</v>
      </c>
      <c r="B34">
        <v>1100</v>
      </c>
    </row>
    <row r="35" spans="1:2" ht="13.8" x14ac:dyDescent="0.25">
      <c r="A35" s="3" t="s">
        <v>182</v>
      </c>
      <c r="B35">
        <v>4500</v>
      </c>
    </row>
    <row r="36" spans="1:2" ht="13.8" x14ac:dyDescent="0.25">
      <c r="A36" s="3" t="s">
        <v>186</v>
      </c>
      <c r="B36">
        <v>22400</v>
      </c>
    </row>
    <row r="37" spans="1:2" ht="13.8" x14ac:dyDescent="0.25">
      <c r="A37" s="3" t="s">
        <v>190</v>
      </c>
      <c r="B37">
        <v>4700</v>
      </c>
    </row>
    <row r="38" spans="1:2" ht="13.8" x14ac:dyDescent="0.25">
      <c r="A38" s="3" t="s">
        <v>194</v>
      </c>
      <c r="B38">
        <v>4800</v>
      </c>
    </row>
    <row r="39" spans="1:2" ht="13.8" x14ac:dyDescent="0.25">
      <c r="A39" s="3" t="s">
        <v>198</v>
      </c>
      <c r="B39">
        <v>1100</v>
      </c>
    </row>
    <row r="40" spans="1:2" ht="13.8" x14ac:dyDescent="0.25">
      <c r="A40" s="3" t="s">
        <v>203</v>
      </c>
      <c r="B40">
        <v>5000</v>
      </c>
    </row>
    <row r="41" spans="1:2" ht="13.8" x14ac:dyDescent="0.25">
      <c r="A41" s="3" t="s">
        <v>208</v>
      </c>
      <c r="B41">
        <v>8000</v>
      </c>
    </row>
    <row r="42" spans="1:2" ht="13.8" x14ac:dyDescent="0.25">
      <c r="A42" s="3" t="s">
        <v>213</v>
      </c>
      <c r="B42">
        <v>4000</v>
      </c>
    </row>
    <row r="43" spans="1:2" ht="13.8" x14ac:dyDescent="0.25">
      <c r="A43" s="3" t="s">
        <v>218</v>
      </c>
      <c r="B43">
        <v>4000</v>
      </c>
    </row>
    <row r="44" spans="1:2" ht="13.8" x14ac:dyDescent="0.25">
      <c r="A44" s="3" t="s">
        <v>223</v>
      </c>
      <c r="B44">
        <v>1200</v>
      </c>
    </row>
    <row r="45" spans="1:2" ht="13.8" x14ac:dyDescent="0.25">
      <c r="A45" s="3" t="s">
        <v>228</v>
      </c>
      <c r="B45">
        <v>4800</v>
      </c>
    </row>
    <row r="46" spans="1:2" ht="13.8" x14ac:dyDescent="0.25">
      <c r="A46" s="3" t="s">
        <v>233</v>
      </c>
      <c r="B46">
        <v>4500</v>
      </c>
    </row>
    <row r="47" spans="1:2" ht="13.8" x14ac:dyDescent="0.25">
      <c r="A47" s="3" t="s">
        <v>237</v>
      </c>
      <c r="B47">
        <v>4800</v>
      </c>
    </row>
    <row r="48" spans="1:2" ht="13.8" x14ac:dyDescent="0.25">
      <c r="A48" s="3" t="s">
        <v>241</v>
      </c>
      <c r="B48">
        <v>4200</v>
      </c>
    </row>
    <row r="49" spans="1:2" ht="13.8" x14ac:dyDescent="0.25">
      <c r="A49" s="3" t="s">
        <v>245</v>
      </c>
      <c r="B49">
        <v>4400</v>
      </c>
    </row>
    <row r="50" spans="1:2" ht="13.8" x14ac:dyDescent="0.25">
      <c r="A50" s="3" t="s">
        <v>250</v>
      </c>
      <c r="B50">
        <v>3300</v>
      </c>
    </row>
    <row r="51" spans="1:2" ht="13.8" x14ac:dyDescent="0.25">
      <c r="A51" s="3" t="s">
        <v>255</v>
      </c>
      <c r="B51">
        <v>1200</v>
      </c>
    </row>
    <row r="52" spans="1:2" ht="13.8" x14ac:dyDescent="0.25">
      <c r="A52" s="1"/>
    </row>
  </sheetData>
  <autoFilter ref="A1:A58" xr:uid="{B10AF8C8-F56F-41EB-9A4F-AB3FBF11ED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Sheet1</vt:lpstr>
      <vt:lpstr>Product_Table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Gupta</dc:creator>
  <cp:lastModifiedBy>Priti Gupta</cp:lastModifiedBy>
  <dcterms:created xsi:type="dcterms:W3CDTF">2026-04-12T11:16:41Z</dcterms:created>
  <dcterms:modified xsi:type="dcterms:W3CDTF">2026-04-12T11:16:41Z</dcterms:modified>
</cp:coreProperties>
</file>